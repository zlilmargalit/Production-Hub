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hamon\hamon\תיקיית משרד- שיתוף קבצים\לוח אמנים  למנהלות הצגה\"/>
    </mc:Choice>
  </mc:AlternateContent>
  <bookViews>
    <workbookView xWindow="0" yWindow="0" windowWidth="16200" windowHeight="12405"/>
  </bookViews>
  <sheets>
    <sheet name="אסף אמדורסקי" sheetId="1" r:id="rId1"/>
    <sheet name="אני גיטרה" sheetId="2" r:id="rId2"/>
    <sheet name="חלונות" sheetId="3" r:id="rId3"/>
  </sheets>
  <definedNames>
    <definedName name="_xlnm._FilterDatabase" localSheetId="1" hidden="1">'אני גיטרה'!$A$2:$H$2</definedName>
    <definedName name="_xlnm._FilterDatabase" localSheetId="0" hidden="1">'אסף אמדורסקי'!$A$2:$H$2</definedName>
    <definedName name="_xlnm._FilterDatabase" localSheetId="2" hidden="1">חלונות!$A$2:$F$2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8" i="2" l="1"/>
  <c r="I88" i="2"/>
  <c r="H88" i="2"/>
  <c r="G88" i="2"/>
  <c r="F88" i="2"/>
  <c r="E88" i="2"/>
  <c r="D88" i="2"/>
  <c r="E70" i="2"/>
  <c r="E69" i="2"/>
  <c r="E68" i="2"/>
  <c r="C29" i="2"/>
  <c r="C32" i="2" s="1"/>
  <c r="C27" i="2"/>
  <c r="J247" i="1"/>
</calcChain>
</file>

<file path=xl/sharedStrings.xml><?xml version="1.0" encoding="utf-8"?>
<sst xmlns="http://schemas.openxmlformats.org/spreadsheetml/2006/main" count="1619" uniqueCount="747">
  <si>
    <t>תאריך</t>
  </si>
  <si>
    <t>מקום</t>
  </si>
  <si>
    <t>הערות</t>
  </si>
  <si>
    <t>שעה</t>
  </si>
  <si>
    <t>יעל</t>
  </si>
  <si>
    <t>איש הקשר- הגברה</t>
  </si>
  <si>
    <t>אורך מופע</t>
  </si>
  <si>
    <t>בוקינג</t>
  </si>
  <si>
    <t>כמות קהל</t>
  </si>
  <si>
    <t>איש קשר</t>
  </si>
  <si>
    <t>אסף</t>
  </si>
  <si>
    <t>60דק</t>
  </si>
  <si>
    <t>ינואר2023</t>
  </si>
  <si>
    <t>אורית</t>
  </si>
  <si>
    <t>50) 835-7453</t>
  </si>
  <si>
    <t>תוספון גיא נבון 052-4239153</t>
  </si>
  <si>
    <t>פרטים מול אסף</t>
  </si>
  <si>
    <t>אסף סולו כולל קטעי קישור קשת אילון</t>
  </si>
  <si>
    <t>סוג הרכב</t>
  </si>
  <si>
    <t>סולו</t>
  </si>
  <si>
    <t>להקה</t>
  </si>
  <si>
    <t>רונן</t>
  </si>
  <si>
    <t>משה</t>
  </si>
  <si>
    <t>בארבי</t>
  </si>
  <si>
    <t xml:space="preserve">                                          חלונות -עמותת עלם אולם סמולאז</t>
  </si>
  <si>
    <t xml:space="preserve">                          חלונות מלון הילטון  , ת"א</t>
  </si>
  <si>
    <t xml:space="preserve">                                    ג'וזי היכל התרבות-חלונות </t>
  </si>
  <si>
    <t>מרכז הצעירים תמוז ,באר שבע</t>
  </si>
  <si>
    <t>דניאל ראדה 0507507715</t>
  </si>
  <si>
    <t>מארח את עלמה גוב</t>
  </si>
  <si>
    <t>45דקסולו+4שירים עם עלמה גוב</t>
  </si>
  <si>
    <t>אסנת: 050-569-8449</t>
  </si>
  <si>
    <t>מורן חסון</t>
  </si>
  <si>
    <t>של המקום</t>
  </si>
  <si>
    <t>לילך 054-455-5426</t>
  </si>
  <si>
    <t>340איש</t>
  </si>
  <si>
    <t>מתארח אצל תמיר גרינברג ביתן 1</t>
  </si>
  <si>
    <t>3שירים</t>
  </si>
  <si>
    <t>היכל בעיר הרצליה רח בן גוריון 5</t>
  </si>
  <si>
    <t>אורח אצל קורין אלאל בארבי</t>
  </si>
  <si>
    <t>תאו הרצליה dj פורים</t>
  </si>
  <si>
    <t>058-4433311רועי</t>
  </si>
  <si>
    <t>פסטיבל הגיטרה אילת</t>
  </si>
  <si>
    <t>בית התרבות כוכב יאיר</t>
  </si>
  <si>
    <t>עמית פיס 0544548674</t>
  </si>
  <si>
    <t>50דק</t>
  </si>
  <si>
    <t>המופע במתחם מלון ספורט אילת</t>
  </si>
  <si>
    <t>פרטים מול משה</t>
  </si>
  <si>
    <t>גריי מודיעין</t>
  </si>
  <si>
    <t>אורח היהודים פארק אוסטרליה ,משגב</t>
  </si>
  <si>
    <t>שוני</t>
  </si>
  <si>
    <t>לי פארטי 054-2046766</t>
  </si>
  <si>
    <t>2000איש</t>
  </si>
  <si>
    <t>גיל קרניאל מוזיאון ת"א</t>
  </si>
  <si>
    <t>בר זבדה 0525834396</t>
  </si>
  <si>
    <t>שירן פומרנץ 050-9775550</t>
  </si>
  <si>
    <t>תקלוט</t>
  </si>
  <si>
    <t>באחריות המזמין</t>
  </si>
  <si>
    <t>90דק</t>
  </si>
  <si>
    <t>אורן 054-6151220</t>
  </si>
  <si>
    <t>יוני הליקון 052-4765452</t>
  </si>
  <si>
    <t>יד לבנים רמת השרון להקה</t>
  </si>
  <si>
    <t xml:space="preserve">djמשרדי חברת אמזון </t>
  </si>
  <si>
    <t>יעל מסר 054-2440585</t>
  </si>
  <si>
    <t>אסף שר בני-אולם יפעת</t>
  </si>
  <si>
    <t>רחלי אבידוב052-2840533</t>
  </si>
  <si>
    <t>לסגור</t>
  </si>
  <si>
    <t>djספריית בית אריאל-מסיבת פורים 22:00</t>
  </si>
  <si>
    <t>נדחה</t>
  </si>
  <si>
    <t xml:space="preserve">בכנס מקצועי בטראסק </t>
  </si>
  <si>
    <t>תצוגת אופנה אצטדיון בלונפילד</t>
  </si>
  <si>
    <t>עמית</t>
  </si>
  <si>
    <t>רןנן</t>
  </si>
  <si>
    <t xml:space="preserve"> שיר של מיילי</t>
  </si>
  <si>
    <t>בית העם,כפר ויתקין</t>
  </si>
  <si>
    <t>75דק</t>
  </si>
  <si>
    <t>280ישיבה</t>
  </si>
  <si>
    <t>עידית – 054-7950478</t>
  </si>
  <si>
    <t>עם יעל אלקנה שיר של מיילי סיירוס אירוע יוטיוב/גוגל</t>
  </si>
  <si>
    <t xml:space="preserve"> שר בני</t>
  </si>
  <si>
    <t>זאפה ירושלים</t>
  </si>
  <si>
    <t>אלמא זכרון</t>
  </si>
  <si>
    <t>שר בני</t>
  </si>
  <si>
    <t>גריי יהוד</t>
  </si>
  <si>
    <t>זאפה הרצליה</t>
  </si>
  <si>
    <t>שר בני-גבעת ברנר</t>
  </si>
  <si>
    <t>אורח אצל מוניקה סקס  עם נינט רוקח 101</t>
  </si>
  <si>
    <t>עבור חברת פייפאל</t>
  </si>
  <si>
    <t>יעל מסר 054-2440585/ הלי להביא</t>
  </si>
  <si>
    <t>29\03\2023</t>
  </si>
  <si>
    <t>וולו אולם שבע מפגש עם דני קושמרו</t>
  </si>
  <si>
    <t>יערות מנשה מתארח אצל רד אקסס</t>
  </si>
  <si>
    <t>בר זבדה</t>
  </si>
  <si>
    <t>באחריות הפסטיבל</t>
  </si>
  <si>
    <t>פסטיבל סנטל פארק</t>
  </si>
  <si>
    <t>חייבים לסיים עד 23:00</t>
  </si>
  <si>
    <t>מוזיאון ת"א אולם רקאנטי</t>
  </si>
  <si>
    <t>היכל נוקיה -בואי</t>
  </si>
  <si>
    <t>מרכז ענב</t>
  </si>
  <si>
    <t>תומר 0502708021</t>
  </si>
  <si>
    <t>אסף אמדורסקי שר בני</t>
  </si>
  <si>
    <t>אסף אמדורסקי-שרים החלונות</t>
  </si>
  <si>
    <t>אסף אמדורסקי-סולו/להקה/תקלוט</t>
  </si>
  <si>
    <t>אסף עם יעל אלקנה</t>
  </si>
  <si>
    <t>אקוסטי</t>
  </si>
  <si>
    <t>מור  050-9066655</t>
  </si>
  <si>
    <t>45דק</t>
  </si>
  <si>
    <t>60איש</t>
  </si>
  <si>
    <t>עבור יוניון גרופ אירוע מנהלים</t>
  </si>
  <si>
    <t>תקלוט לחברת אמזון-גני התערוכה</t>
  </si>
  <si>
    <t>120דק</t>
  </si>
  <si>
    <t>אלמא זכרון יעקב</t>
  </si>
  <si>
    <t>15:00-16:30</t>
  </si>
  <si>
    <t>אופציה</t>
  </si>
  <si>
    <t>שלי</t>
  </si>
  <si>
    <t>מצפה הכוכבים גבעתיים</t>
  </si>
  <si>
    <t>מחיר</t>
  </si>
  <si>
    <t>פסטיבל ערד רובע האמנים</t>
  </si>
  <si>
    <t>700איש</t>
  </si>
  <si>
    <t>70דק</t>
  </si>
  <si>
    <t>עינת 0542402970</t>
  </si>
  <si>
    <t>500איש</t>
  </si>
  <si>
    <t>אסף ווקול0504366360</t>
  </si>
  <si>
    <t>40,950K</t>
  </si>
  <si>
    <t>מירי 054-4344560</t>
  </si>
  <si>
    <t>צהריים</t>
  </si>
  <si>
    <t>054-2440585יעל מסר</t>
  </si>
  <si>
    <t>תוספות עלינו</t>
  </si>
  <si>
    <t>150איש</t>
  </si>
  <si>
    <t>לחב' אמזון,רידיניג 3</t>
  </si>
  <si>
    <t>50K</t>
  </si>
  <si>
    <t>טל בוכרי 0545302303</t>
  </si>
  <si>
    <t>מרינה 0507600669</t>
  </si>
  <si>
    <t>המזמין</t>
  </si>
  <si>
    <t>מתארח אצל איפה הילד שוני</t>
  </si>
  <si>
    <t>אורית אביב</t>
  </si>
  <si>
    <t>גן החבל,פסטיבל מוזות שוהם</t>
  </si>
  <si>
    <t>מארח את אושיק לוי במסגרת פסטיבל ראשלצ</t>
  </si>
  <si>
    <t>היכל התרבות ראשלצ</t>
  </si>
  <si>
    <t xml:space="preserve">תאו הרצליה </t>
  </si>
  <si>
    <t>מתארח</t>
  </si>
  <si>
    <t>ענב רביץ 0502055777</t>
  </si>
  <si>
    <t>1-2שירים</t>
  </si>
  <si>
    <t>2500איש</t>
  </si>
  <si>
    <t>רועי קרוגט 058-4433311</t>
  </si>
  <si>
    <t>באחריות המקום</t>
  </si>
  <si>
    <t>6הזמנות</t>
  </si>
  <si>
    <t>בית עובד</t>
  </si>
  <si>
    <t>גבעתיים,מדשאת התאטרון – גן הפסלים</t>
  </si>
  <si>
    <t>600איש</t>
  </si>
  <si>
    <t>הגברה באחריותנו לכל הטקס-כנס מתנדבים</t>
  </si>
  <si>
    <t>65K</t>
  </si>
  <si>
    <t>ערב לזכר גבריאל בלחסן,האנגר11 1-2שירים</t>
  </si>
  <si>
    <t>אמפי עין הוד</t>
  </si>
  <si>
    <t>הקיים במקום</t>
  </si>
  <si>
    <t>522962478יואב</t>
  </si>
  <si>
    <t>נילי פיטרסון0545242787</t>
  </si>
  <si>
    <t>80דק</t>
  </si>
  <si>
    <t>לאגודת ידידי מכון ויצמן ,מלון הילטון ת"א</t>
  </si>
  <si>
    <t>אביגיל 0542199998</t>
  </si>
  <si>
    <t>5שירים</t>
  </si>
  <si>
    <t>400איש</t>
  </si>
  <si>
    <t>27K</t>
  </si>
  <si>
    <t>ניצן 0508426345</t>
  </si>
  <si>
    <t>שיר1</t>
  </si>
  <si>
    <t>200איש</t>
  </si>
  <si>
    <t>אייטם פתיחה עם הבמאי שילה גלאי</t>
  </si>
  <si>
    <t xml:space="preserve">שני שירים של אסף תחילת אירוע ועוד 3 שירים של בני , שיר סוגר אני גיטרה </t>
  </si>
  <si>
    <t>ליאור סידוב 0542402937</t>
  </si>
  <si>
    <t>פסטיבל הפסנתר עם יעל קראוס</t>
  </si>
  <si>
    <t xml:space="preserve">ניצן </t>
  </si>
  <si>
    <t>אייטם פתיחה -שיר אחד ג'ון לנון מלון הילטון</t>
  </si>
  <si>
    <t>עומרי</t>
  </si>
  <si>
    <t>מסעדת אסיף</t>
  </si>
  <si>
    <t>רמי בז'ה 0502230501</t>
  </si>
  <si>
    <t>תאטרון הקאמרי-במסגרת האירוע השנתי "שרים ליאור"</t>
  </si>
  <si>
    <t>אולם גן שמואל</t>
  </si>
  <si>
    <t>840ישיבה</t>
  </si>
  <si>
    <t xml:space="preserve"> חיים סלע טלפון 054-4544598</t>
  </si>
  <si>
    <t>כתת אמן</t>
  </si>
  <si>
    <t>ירושלים</t>
  </si>
  <si>
    <t>בית ביאליק</t>
  </si>
  <si>
    <t>מטה יהודה</t>
  </si>
  <si>
    <t>חני 0505263170</t>
  </si>
  <si>
    <t>סיבוני</t>
  </si>
  <si>
    <t>23K</t>
  </si>
  <si>
    <t>120איש</t>
  </si>
  <si>
    <t>אולם ורטיגו כפר אומנות אקולוגי קיבוץ נתיב הל"ה</t>
  </si>
  <si>
    <t>גלריה אירופה ,הרצל 3 ת"א</t>
  </si>
  <si>
    <t>במסגרת תערועה "ביום השביעי"</t>
  </si>
  <si>
    <t>השלמות עלינו</t>
  </si>
  <si>
    <t>אורח אצל קורין אלאל בארבי החדש</t>
  </si>
  <si>
    <t>נמל יפו</t>
  </si>
  <si>
    <t>חן לי 0508883883</t>
  </si>
  <si>
    <t>13K</t>
  </si>
  <si>
    <t>ערב</t>
  </si>
  <si>
    <t>אילת באולם WOW</t>
  </si>
  <si>
    <t xml:space="preserve">יעל </t>
  </si>
  <si>
    <t>אירוע פרס חינוך-עירית אילת</t>
  </si>
  <si>
    <t>גבעת שמואל</t>
  </si>
  <si>
    <t xml:space="preserve">בית ניר </t>
  </si>
  <si>
    <t>תומר050-2708021</t>
  </si>
  <si>
    <t>סלע רחובות</t>
  </si>
  <si>
    <t>בארבי עם אורחים</t>
  </si>
  <si>
    <t>ערב שרים קורין אלאל בהיכל התרבות</t>
  </si>
  <si>
    <t>ליטל לוגסי 054-7777693</t>
  </si>
  <si>
    <t>שדות דן,מושב חמד</t>
  </si>
  <si>
    <t>050-2813130נעמה</t>
  </si>
  <si>
    <t>אסף מביא איתו</t>
  </si>
  <si>
    <t>350איש</t>
  </si>
  <si>
    <t>בית העם מושב אביאל,מ.א אלונה</t>
  </si>
  <si>
    <t>טובה0502235755</t>
  </si>
  <si>
    <t>הגברה של אסף</t>
  </si>
  <si>
    <t>250איש</t>
  </si>
  <si>
    <t>דרך פרוייקט משיב רוח</t>
  </si>
  <si>
    <t>פרטים מול יעל</t>
  </si>
  <si>
    <t>מרכז ענב פסטיבל המגבר</t>
  </si>
  <si>
    <t>40דק</t>
  </si>
  <si>
    <t>85K</t>
  </si>
  <si>
    <t>דן אכדיה הרצליה מפונים</t>
  </si>
  <si>
    <t>אסף?</t>
  </si>
  <si>
    <t xml:space="preserve"> גם גיטרה גם של אסף 6שירים</t>
  </si>
  <si>
    <t>גן שמואל</t>
  </si>
  <si>
    <t>אסף בליווי להקת הבית</t>
  </si>
  <si>
    <t>פריינדס-אילת</t>
  </si>
  <si>
    <t>קו רקיע</t>
  </si>
  <si>
    <t>הספרייה הלאומית ירושלים</t>
  </si>
  <si>
    <t>שירה 052-6198835</t>
  </si>
  <si>
    <t xml:space="preserve">פסטיבל הג'אז אילת, אולם אסטל אוהל </t>
  </si>
  <si>
    <t>052-7748041ציונה קדמי</t>
  </si>
  <si>
    <t>קיבוץ צובה,מפונים בקיעים)</t>
  </si>
  <si>
    <t>רחל 054-5637015</t>
  </si>
  <si>
    <t>1000איש</t>
  </si>
  <si>
    <t xml:space="preserve"> רז050-5776628</t>
  </si>
  <si>
    <t>מרכז תרבות מגידו</t>
  </si>
  <si>
    <t>570איש</t>
  </si>
  <si>
    <t>רותם בן חמו 052-4881927</t>
  </si>
  <si>
    <t>75דק 480איש</t>
  </si>
  <si>
    <t>293איש</t>
  </si>
  <si>
    <t>סטוקו-רמת החייל</t>
  </si>
  <si>
    <t>גלית 052-2521943</t>
  </si>
  <si>
    <t>053-5266192איציק גור</t>
  </si>
  <si>
    <t>מוטי מיקס0507536036</t>
  </si>
  <si>
    <t>קיבוץ מזרע למפונים ממגבים</t>
  </si>
  <si>
    <t>רוית 052-6157243</t>
  </si>
  <si>
    <t>פתח תקווה</t>
  </si>
  <si>
    <t>כפר שמריהו</t>
  </si>
  <si>
    <t>צוללת</t>
  </si>
  <si>
    <t>פרטים מול חמוטל</t>
  </si>
  <si>
    <t>חמוטל</t>
  </si>
  <si>
    <t>קולאור לינדה0505390574</t>
  </si>
  <si>
    <t>פאבלה,מושב מנוף-משגב</t>
  </si>
  <si>
    <t>נגנים</t>
  </si>
  <si>
    <t>נמר</t>
  </si>
  <si>
    <t>עבור אחזות גבעתיים-דיירים עתידיים</t>
  </si>
  <si>
    <t>אוגוסט2024</t>
  </si>
  <si>
    <t xml:space="preserve">סולו </t>
  </si>
  <si>
    <t>050-8444721 מירב</t>
  </si>
  <si>
    <t>מוטי מיקס</t>
  </si>
  <si>
    <t>מארח את שלומי שבן ויעל קראוס פסטיבל ימי זמר חולון</t>
  </si>
  <si>
    <t>אולם בית גבריאל</t>
  </si>
  <si>
    <t>יעל 0504008061</t>
  </si>
  <si>
    <t>364איש</t>
  </si>
  <si>
    <t>כרטיסים</t>
  </si>
  <si>
    <t>35K</t>
  </si>
  <si>
    <t>גד אורון</t>
  </si>
  <si>
    <t>3שירים ברצף</t>
  </si>
  <si>
    <t>4הזמנות</t>
  </si>
  <si>
    <t>על המזמין</t>
  </si>
  <si>
    <t>ים המלח מלון VERT אולם כנסים</t>
  </si>
  <si>
    <t>לאורחי קשרי תרבות</t>
  </si>
  <si>
    <t>מתארח אצל קורין אלאל בית גוברין</t>
  </si>
  <si>
    <t>זאפה הרצליה 21:00</t>
  </si>
  <si>
    <t>שיר אחד</t>
  </si>
  <si>
    <t xml:space="preserve"> </t>
  </si>
  <si>
    <t>עליהם</t>
  </si>
  <si>
    <t>052-8011513מיכל</t>
  </si>
  <si>
    <t>ערב יום הזכרון אסף לשיר אחד במוזאון ת"א לעמותת נטל</t>
  </si>
  <si>
    <t>052-3431989זאב</t>
  </si>
  <si>
    <t>פיליפ0503372990</t>
  </si>
  <si>
    <t>38K</t>
  </si>
  <si>
    <t>פארק הירקון , נובה</t>
  </si>
  <si>
    <t>100איש</t>
  </si>
  <si>
    <t>מלון דן פנורמה ת"א</t>
  </si>
  <si>
    <t>אורית רז 050-9189040</t>
  </si>
  <si>
    <t>רופאי מכבי גסטרו</t>
  </si>
  <si>
    <t>30K</t>
  </si>
  <si>
    <t>ניצן פרייס 0508426345</t>
  </si>
  <si>
    <t>3-4שירים</t>
  </si>
  <si>
    <t>ע"פ רישוי</t>
  </si>
  <si>
    <t>עמותת ידידי המרכז הרפואי לשיקום לוינשטיין</t>
  </si>
  <si>
    <t>אסף,חמי,דנה,ירמי, יהלי בליווי נגנים אולם 1L ת"א</t>
  </si>
  <si>
    <t>לחברת אקמאי</t>
  </si>
  <si>
    <r>
      <rPr>
        <b/>
        <sz val="12"/>
        <rFont val="Calibri"/>
        <family val="2"/>
      </rPr>
      <t xml:space="preserve">מתארח </t>
    </r>
    <r>
      <rPr>
        <sz val="12"/>
        <rFont val="Calibri"/>
        <family val="2"/>
      </rPr>
      <t>אצל ירמי קפלן אולם סמולארש ת"א</t>
    </r>
  </si>
  <si>
    <t>הבר הקהילתי אלפי מנשה</t>
  </si>
  <si>
    <t>170איש</t>
  </si>
  <si>
    <t>מועדון הג'ורג'</t>
  </si>
  <si>
    <t>052-4447050זיו</t>
  </si>
  <si>
    <t>נס ציונה, משכן הפיס לאמנויות</t>
  </si>
  <si>
    <t>על המזמין+פסנתר</t>
  </si>
  <si>
    <t>לקהל הרחב</t>
  </si>
  <si>
    <t>טל 052-6134011</t>
  </si>
  <si>
    <t>זז , תאריך יעודכן בהמשך</t>
  </si>
  <si>
    <t>מעיין אשכנזי 050-8919605</t>
  </si>
  <si>
    <t>חברי מועדון הג'ורג'</t>
  </si>
  <si>
    <t>ליטל לוגסי054-7777693</t>
  </si>
  <si>
    <t>20K</t>
  </si>
  <si>
    <t>4הזמנות לאמן</t>
  </si>
  <si>
    <t>יתואם+חזרה</t>
  </si>
  <si>
    <r>
      <t xml:space="preserve">אסף </t>
    </r>
    <r>
      <rPr>
        <b/>
        <sz val="12"/>
        <rFont val="Calibri"/>
        <family val="2"/>
      </rPr>
      <t>מתארח</t>
    </r>
    <r>
      <rPr>
        <sz val="12"/>
        <rFont val="Calibri"/>
        <family val="2"/>
      </rPr>
      <t xml:space="preserve"> את אריק סיני היכל התרבות תא</t>
    </r>
  </si>
  <si>
    <t>סינמה סיטי גלילות עם מנחה מוטי זעירא</t>
  </si>
  <si>
    <t>052-2521943 גלית</t>
  </si>
  <si>
    <t>על המזמין , נמר</t>
  </si>
  <si>
    <t>למועדון חברים צ'מפיון מוטורס</t>
  </si>
  <si>
    <t>33,500K</t>
  </si>
  <si>
    <t>קיבוץ להב-חודש הקריאה ,עם הסופר רון דהן</t>
  </si>
  <si>
    <t>מפגש אמן</t>
  </si>
  <si>
    <t>1450איש ישיבה</t>
  </si>
  <si>
    <t>נטלי 052-4824248</t>
  </si>
  <si>
    <t>לסגור תוספות מול סינקופה</t>
  </si>
  <si>
    <t>המזמין+פסנתר</t>
  </si>
  <si>
    <t>מנועים שקטים בארבי מארח את ברי סחרוף</t>
  </si>
  <si>
    <t>התנדבות</t>
  </si>
  <si>
    <t>קאמרי, שרים לליאור</t>
  </si>
  <si>
    <t>משכן רעננה</t>
  </si>
  <si>
    <t>450איש</t>
  </si>
  <si>
    <t>32K</t>
  </si>
  <si>
    <t>תאטרון גבעתיים</t>
  </si>
  <si>
    <t>מוזיאון ת"א אולם אסיה</t>
  </si>
  <si>
    <t>יוגב 052-6360154</t>
  </si>
  <si>
    <t>לעובדי מטא שיחה בנושא ALּ+שירים</t>
  </si>
  <si>
    <t>42.5K</t>
  </si>
  <si>
    <t>הספרייה הלאומית ירושלים ערב ליהודה עמיחי</t>
  </si>
  <si>
    <t>ביחד עם להקת הבית</t>
  </si>
  <si>
    <t>באר יעקב</t>
  </si>
  <si>
    <t>שירה גבאי 052-6198835</t>
  </si>
  <si>
    <t>מול חן לי</t>
  </si>
  <si>
    <t>משמר דוד</t>
  </si>
  <si>
    <t>מתארח עם הסינפוניה היכל התרבות מודיעין</t>
  </si>
  <si>
    <t>חגי קורן 0528969753</t>
  </si>
  <si>
    <t>ערב בניצוחו של גיל שוחט</t>
  </si>
  <si>
    <t>25K</t>
  </si>
  <si>
    <t>ערב שלם 90דק</t>
  </si>
  <si>
    <t xml:space="preserve">3 שירים בהתאם לתכנית האמנותית </t>
  </si>
  <si>
    <t>75דק 250איש ישיבה</t>
  </si>
  <si>
    <t xml:space="preserve">8-9שירים </t>
  </si>
  <si>
    <t>במסגרת ווליום אקוסטי במשכן רעננה 75דק</t>
  </si>
  <si>
    <t>הפלמח2א</t>
  </si>
  <si>
    <t>חסית ריינר054-6703708</t>
  </si>
  <si>
    <t>052-2902468רותי</t>
  </si>
  <si>
    <t>עלינו-נמר</t>
  </si>
  <si>
    <t>מופע מלא</t>
  </si>
  <si>
    <t>כנס גסטרו לילדים</t>
  </si>
  <si>
    <t>45K</t>
  </si>
  <si>
    <t xml:space="preserve">מתארח אצל רונה קינן זאפה בפארק </t>
  </si>
  <si>
    <t>נוף הגליל (נצרת עלית) ,רמדה</t>
  </si>
  <si>
    <t>מרכז מסחרי מכבים רעות</t>
  </si>
  <si>
    <t>נמר+ פסנתר באחריות המזמין</t>
  </si>
  <si>
    <t>500איש60דק</t>
  </si>
  <si>
    <t>עבר ל29/10 נוף הגליל</t>
  </si>
  <si>
    <t>אני גיטרה</t>
  </si>
  <si>
    <t>היכל פרנדס,נהריה</t>
  </si>
  <si>
    <t>איציק גור 053-5266192</t>
  </si>
  <si>
    <t>עלנו-לשריין את נמר</t>
  </si>
  <si>
    <t>איש קשר במקום-שמעון 0509394022</t>
  </si>
  <si>
    <t>מרכז התרבות אבא חושי, חיפה</t>
  </si>
  <si>
    <t>איש קשר במקום-דוד 052-8406183</t>
  </si>
  <si>
    <t>בית העם מ.א גדרות</t>
  </si>
  <si>
    <t>עיינה שרמן 052-8767512</t>
  </si>
  <si>
    <t xml:space="preserve">אורית </t>
  </si>
  <si>
    <t xml:space="preserve">60דק </t>
  </si>
  <si>
    <t>תושבי המקום</t>
  </si>
  <si>
    <t>19K</t>
  </si>
  <si>
    <t>מיכל אטיאס 052-4844841</t>
  </si>
  <si>
    <t>6-8שירים+שיחהעם מאיה קוסובר</t>
  </si>
  <si>
    <t>מתארח אצל אריאל הורביץ' כיכר העיר ראשלצ</t>
  </si>
  <si>
    <t>3שירים של נעמי שמר</t>
  </si>
  <si>
    <t>1200איש</t>
  </si>
  <si>
    <t>כניסה חופשית,המחיר כולל חזרה אחת</t>
  </si>
  <si>
    <t>ירד</t>
  </si>
  <si>
    <t>שיר פיוט בית אבי חי ירושלים</t>
  </si>
  <si>
    <t>גיל אלון 054-4911255</t>
  </si>
  <si>
    <t>אסף/עידן</t>
  </si>
  <si>
    <t>מנועים שקטים בארבי מארח את שלומי שבן</t>
  </si>
  <si>
    <t xml:space="preserve"> היכל התרבות תא מארח את יהורם גאון מרגול וחנן יובל</t>
  </si>
  <si>
    <t>3 פריצות</t>
  </si>
  <si>
    <t>054-7094199מירי</t>
  </si>
  <si>
    <t>3פריצות של מחרוזות</t>
  </si>
  <si>
    <t>טקס מצטיינים משרד הבריאות</t>
  </si>
  <si>
    <t>אולם יגור, מתארח אצל אריאל הורביץ</t>
  </si>
  <si>
    <t>ללא חזרה</t>
  </si>
  <si>
    <t>בית העם, שוהם</t>
  </si>
  <si>
    <t>גלית דבי 052-2521943</t>
  </si>
  <si>
    <t>המזמין-נמר</t>
  </si>
  <si>
    <t>דיירי פאלס</t>
  </si>
  <si>
    <t>מיוזיק סיטי באר שבע</t>
  </si>
  <si>
    <t>מגדל דוד ,ירושלים</t>
  </si>
  <si>
    <t>זז מ12.11</t>
  </si>
  <si>
    <t>אינדיגיגס טרמינל, נמל חיפה</t>
  </si>
  <si>
    <t>Lee Zach - 052-8943767</t>
  </si>
  <si>
    <t>ברצלונה</t>
  </si>
  <si>
    <t>נעה אייל 052-4819107</t>
  </si>
  <si>
    <t>מארח את נעה אייל</t>
  </si>
  <si>
    <t>1750אירו</t>
  </si>
  <si>
    <t>המזמין, נמר</t>
  </si>
  <si>
    <t xml:space="preserve">ים המלח   באולם: מלון enjoy </t>
  </si>
  <si>
    <t>כנס רופאי נשים קופ"ח מאוחדת</t>
  </si>
  <si>
    <t>52.5K</t>
  </si>
  <si>
    <t>עלנו-נמר</t>
  </si>
  <si>
    <t>052-5550551 אלישבע</t>
  </si>
  <si>
    <t>ת.יידחה</t>
  </si>
  <si>
    <t>פבליון-הרודס, אילת</t>
  </si>
  <si>
    <t>מוטי מיקס 0505265188</t>
  </si>
  <si>
    <t>שני 050-9311778</t>
  </si>
  <si>
    <t>עידן</t>
  </si>
  <si>
    <t>מתארח אצל קורין אלאל בבארבי</t>
  </si>
  <si>
    <t>חן לי פישמן 0508883883</t>
  </si>
  <si>
    <t>אולמי דסטינו-שורש ירושלים(3 פריצות במהלך האירוע) 11:30-13:30</t>
  </si>
  <si>
    <r>
      <t xml:space="preserve">00:00:00 </t>
    </r>
    <r>
      <rPr>
        <b/>
        <strike/>
        <sz val="12"/>
        <color theme="0"/>
        <rFont val="Times New Roman"/>
        <family val="1"/>
      </rPr>
      <t>בוטל</t>
    </r>
  </si>
  <si>
    <t>תאריך שזז מ20/6</t>
  </si>
  <si>
    <t>380איש</t>
  </si>
  <si>
    <t>פסטיבל מיוזיק סיטי ב"ש</t>
  </si>
  <si>
    <t>מלון דן אכדיה, הרצליה</t>
  </si>
  <si>
    <t>עלנו לסגור. שאלות מול סלבה מנהל האולם 0547318218</t>
  </si>
  <si>
    <t>מלון רויאל ביץ',אילת</t>
  </si>
  <si>
    <t>אורחי פריתורס</t>
  </si>
  <si>
    <t>משמר העמק</t>
  </si>
  <si>
    <t>052-6880438יהב</t>
  </si>
  <si>
    <t>קהל יושב בישיבה אלטרנטיבית 70דק 350איש</t>
  </si>
  <si>
    <t>ערב בבארבי 5-6 שירים</t>
  </si>
  <si>
    <t>מיכאל0504239133</t>
  </si>
  <si>
    <t>4-6 שירים</t>
  </si>
  <si>
    <t>אצל אריאל הורביץ, יגור</t>
  </si>
  <si>
    <t>עבר מ4.12</t>
  </si>
  <si>
    <t>20:00-21:30</t>
  </si>
  <si>
    <t>מורן אהרון 0532503623</t>
  </si>
  <si>
    <t>20 הזמנות</t>
  </si>
  <si>
    <t>הקיים(תוספות במידה ונדרש זה עלנו)</t>
  </si>
  <si>
    <t>תדר, ערב לזכרו של עפרי גופר זל</t>
  </si>
  <si>
    <t>אולם זהר, מתנס קרית טבעון</t>
  </si>
  <si>
    <t>אצל חנן יובל,גריי</t>
  </si>
  <si>
    <t>אילת-רויאל ביץ</t>
  </si>
  <si>
    <t>פברו-25</t>
  </si>
  <si>
    <t>300איש</t>
  </si>
  <si>
    <t>תמרת, אולם ספורט</t>
  </si>
  <si>
    <t>ניצן 050-5253200</t>
  </si>
  <si>
    <t>עלנו ,שלומי סיבוני</t>
  </si>
  <si>
    <t>מאור שמואל 054-5995126</t>
  </si>
  <si>
    <t>סולו קלידים</t>
  </si>
  <si>
    <t xml:space="preserve">חדר במלון על בסיס חצי פנסיון אירוח </t>
  </si>
  <si>
    <t>מופע שקיעה נחשולים, לוולנס</t>
  </si>
  <si>
    <t>היכל התרבות יבנה במסגרת ערב מקהלות וחבורות זמר</t>
  </si>
  <si>
    <t>אודיטויום חיפה</t>
  </si>
  <si>
    <t>מיכל דביר 053-7548524</t>
  </si>
  <si>
    <t>עלנו-נמר לשריין 10-13K</t>
  </si>
  <si>
    <t>עצמאות, רחבת יד לבנים רעננה,רח אחוזה 147</t>
  </si>
  <si>
    <t>חלונות קו רקיע</t>
  </si>
  <si>
    <t>מופע מחווה לקורין אלאל ז"ל, עין גב</t>
  </si>
  <si>
    <t>אולם רקנאטי מוזיאון תא</t>
  </si>
  <si>
    <r>
      <t xml:space="preserve">                                       רוטרי נוף ים </t>
    </r>
    <r>
      <rPr>
        <sz val="12"/>
        <color rgb="FFFF0000"/>
        <rFont val="Calibri"/>
        <family val="2"/>
      </rPr>
      <t>שימי לב שאין לא יהיה כיבוד/אוכל מצידם חכן יש לדאוג לאוכל לצוות מצדך</t>
    </r>
  </si>
  <si>
    <t>חתונה</t>
  </si>
  <si>
    <t>כפר שמריהו ,רח האורנים 56</t>
  </si>
  <si>
    <t>אביגאיל נפתלי 058-4646470</t>
  </si>
  <si>
    <t>30דק</t>
  </si>
  <si>
    <t>55K</t>
  </si>
  <si>
    <t>יקב אמפורה, כרם מהר"ל</t>
  </si>
  <si>
    <t>ליאור רבלין 0503805689</t>
  </si>
  <si>
    <t>אודיטוריום סמולארש</t>
  </si>
  <si>
    <t>סולו פסנתר</t>
  </si>
  <si>
    <t>אירוע הנצחה מועדון האזור ת"א</t>
  </si>
  <si>
    <t>80איש 45דק</t>
  </si>
  <si>
    <t>מלון גליליון</t>
  </si>
  <si>
    <t>גל0523388632</t>
  </si>
  <si>
    <t>33K</t>
  </si>
  <si>
    <t>עין החולה(כפר גלעדי)</t>
  </si>
  <si>
    <t xml:space="preserve">מועדון ג'ורג' ת"א </t>
  </si>
  <si>
    <t>054-7298501סטפני</t>
  </si>
  <si>
    <t>איתי פריד 054-8015341</t>
  </si>
  <si>
    <t>זאפה הרצליה צהריים</t>
  </si>
  <si>
    <t>בריכת הסולטן תזמורת מזרח מערב , בברכת הסולטן ירושלים</t>
  </si>
  <si>
    <t>אולם גבולות, מ.א אשכול</t>
  </si>
  <si>
    <t>מלי זנזורי 052-8897285</t>
  </si>
  <si>
    <t>קמפוס רימון, עכו,בית ספר רימון למוזיקה</t>
  </si>
  <si>
    <t>רוני קורל 052-5553188</t>
  </si>
  <si>
    <t>גם עלמה גוב בכתת אמן באותו הבוקר</t>
  </si>
  <si>
    <t>7K</t>
  </si>
  <si>
    <t>אולם זוהר, טבעון</t>
  </si>
  <si>
    <t>מלון רמדה ,נצרת</t>
  </si>
  <si>
    <t>052-3431989 עומר בן זאב</t>
  </si>
  <si>
    <t>המזמין  מול נמר</t>
  </si>
  <si>
    <t>אורחי קשרי תרבות תבל</t>
  </si>
  <si>
    <t>40-45דק</t>
  </si>
  <si>
    <t>11-:0014:00</t>
  </si>
  <si>
    <t>בארבי מארח את מוניקה סקס</t>
  </si>
  <si>
    <t xml:space="preserve">חן לי פישמן </t>
  </si>
  <si>
    <t>מתארח אצל מאור כהן זאפה הרצליה צהריים</t>
  </si>
  <si>
    <t>הלי להביא</t>
  </si>
  <si>
    <t>דב הירוק</t>
  </si>
  <si>
    <t>אולם דורות ,שער הנגב</t>
  </si>
  <si>
    <t>דגנית 054-7916371</t>
  </si>
  <si>
    <t>תושבי האזור</t>
  </si>
  <si>
    <t>שימרית גולן 050-6217970</t>
  </si>
  <si>
    <t>זהר 050-6854854</t>
  </si>
  <si>
    <t>סולו אלקטרוני</t>
  </si>
  <si>
    <t>מלון ג'ורג',ת"א עבור אורחי חברת אלקטרה</t>
  </si>
  <si>
    <t>ליאור קורן 052-3670156</t>
  </si>
  <si>
    <t>לחברת אלקטרה</t>
  </si>
  <si>
    <t>אולם צוקר, היכל התרבות</t>
  </si>
  <si>
    <t>אצל אפרת גוש באלמא זיכרון</t>
  </si>
  <si>
    <t>זואי רפפורט 052-8653838</t>
  </si>
  <si>
    <t>אורי מלין 052-6236895</t>
  </si>
  <si>
    <t>תיאטרון הצפון קריית חיים</t>
  </si>
  <si>
    <t>לפי הקיים במקום</t>
  </si>
  <si>
    <t>21:30/22:00</t>
  </si>
  <si>
    <t>אצל דלית רדצ'יסטר,כרם רמון -מצפה רמון</t>
  </si>
  <si>
    <t>תמר 050-9860700</t>
  </si>
  <si>
    <t>2-3שירים</t>
  </si>
  <si>
    <t>במסגרת בימות פיס</t>
  </si>
  <si>
    <t>חדר אוכל קיבוץ גת</t>
  </si>
  <si>
    <t>בימות פיס</t>
  </si>
  <si>
    <t>שגיב 052-5808113</t>
  </si>
  <si>
    <t>עלנו נמר</t>
  </si>
  <si>
    <t>פארק לוי, רמת השרון (מוצאי עצמאות)</t>
  </si>
  <si>
    <t>עלנו-נמר 20K</t>
  </si>
  <si>
    <t>לפי רישוי</t>
  </si>
  <si>
    <t>עם יעל</t>
  </si>
  <si>
    <t>תוספות הגברה באחריות שלנו</t>
  </si>
  <si>
    <t>אצל ערן צור בבארבי</t>
  </si>
  <si>
    <t>אורלי 052-8718526</t>
  </si>
  <si>
    <t>ליטל לוגסי מנהלת שלומי0547777693</t>
  </si>
  <si>
    <t>מארח את שלומי שבן וליהי טולדנו ,קמפוס דיסקונט ראשלצ</t>
  </si>
  <si>
    <t>(מתוחם 3 שירים כל אירוח(50דק</t>
  </si>
  <si>
    <t>052-2389277רינת</t>
  </si>
  <si>
    <t>המזמין  מול נמר+פסנתר לשלומי על הלקוח</t>
  </si>
  <si>
    <t>בארבי מארח את אפרת גוש וקרח 9</t>
  </si>
  <si>
    <t>חצר יד לבנים,רעננה (במקום ערב עצמאות שבוטל)</t>
  </si>
  <si>
    <t>יש פסנתר והגברה במקום</t>
  </si>
  <si>
    <t>מלא</t>
  </si>
  <si>
    <t>טכני אולם-סאהר 0544507929</t>
  </si>
  <si>
    <t>מיכל0549985569</t>
  </si>
  <si>
    <t>הגברה עלנו  נמר 11.5K</t>
  </si>
  <si>
    <t>כניסת קהל 20:30</t>
  </si>
  <si>
    <t>תיאטרון גבעתיים</t>
  </si>
  <si>
    <t>יש פסנתר במקום</t>
  </si>
  <si>
    <t>טלי לוי 052-3213775</t>
  </si>
  <si>
    <t>עבר מ20.6</t>
  </si>
  <si>
    <t>פרטים מול אסף הראל</t>
  </si>
  <si>
    <t>בליווי הרכב נפגשים על הדשא ,אודיטוריום סמולארש</t>
  </si>
  <si>
    <t>054-7538847 שי הרץ</t>
  </si>
  <si>
    <t xml:space="preserve">3שירים </t>
  </si>
  <si>
    <t>אירוע לבנק הבינלאומי</t>
  </si>
  <si>
    <t>עבר מ19.6</t>
  </si>
  <si>
    <t>עבר מ11.9</t>
  </si>
  <si>
    <t>חסית ריינר 054-6703708</t>
  </si>
  <si>
    <t>אבי שורבט0502007320</t>
  </si>
  <si>
    <t>אולם צוקר</t>
  </si>
  <si>
    <t>תאו הרצליה21:00</t>
  </si>
  <si>
    <t>עבר מ17.9</t>
  </si>
  <si>
    <t xml:space="preserve">16:30לערך </t>
  </si>
  <si>
    <t>גלריה ,במוזיאון ת"א</t>
  </si>
  <si>
    <t>סדנת אמן</t>
  </si>
  <si>
    <t>54K</t>
  </si>
  <si>
    <t>פסנתר והגברה של המקום סלבה 054-7318218</t>
  </si>
  <si>
    <t>אצל הילה רוח פסטיבל ת"א</t>
  </si>
  <si>
    <t>ניבי052-4719616</t>
  </si>
  <si>
    <t>ביתן עופר מוזיאון תל אביב</t>
  </si>
  <si>
    <t>ירדנה אסולין 050-3134177</t>
  </si>
  <si>
    <t>21:00-23:00</t>
  </si>
  <si>
    <t>אולם צוקר,היכל התרבות</t>
  </si>
  <si>
    <t>החלוץ</t>
  </si>
  <si>
    <t xml:space="preserve">רוני אברמובסקי 052-888332 </t>
  </si>
  <si>
    <t>חמי-מופע שנות ה90 -המרפסת רמת ישי</t>
  </si>
  <si>
    <t>על הלקוח</t>
  </si>
  <si>
    <t>4שירים</t>
  </si>
  <si>
    <t>בחירת שירים רכבת לצפון או 15 דק או יקירתי או השמיים הכחולים או אהבה חדשה או חלום כהה</t>
  </si>
  <si>
    <t>חזרה בליווי להקה של רוני</t>
  </si>
  <si>
    <t>פאבלה</t>
  </si>
  <si>
    <t>אצל תמיר גרינברג פסטיבל הפסנתר אילת, אולם אסטרל</t>
  </si>
  <si>
    <t>2-3 שירים</t>
  </si>
  <si>
    <t xml:space="preserve">רועי ברקן054-7242424 </t>
  </si>
  <si>
    <t>שיר אחד (ראשון בערב)</t>
  </si>
  <si>
    <t>שיר אחד בערב 5 שנים לזכר יהודה ברקן זל-סינמה סיטי גלילות</t>
  </si>
  <si>
    <t>מחיר "התנדבות"</t>
  </si>
  <si>
    <t>אודטוריום להבות הבשן צהריים</t>
  </si>
  <si>
    <t>קיים פסנתר במקום</t>
  </si>
  <si>
    <t>ערן צור 052-6644422</t>
  </si>
  <si>
    <t>17:30באלאנס ויש פסנתר במקום</t>
  </si>
  <si>
    <t>מלון דן אילת-האולם הכחול</t>
  </si>
  <si>
    <t xml:space="preserve">כנס אונקולוגים </t>
  </si>
  <si>
    <t>הוקדם מ15.1</t>
  </si>
  <si>
    <t>טלי 052-4660033</t>
  </si>
  <si>
    <t>אילן ירון 054-6226222</t>
  </si>
  <si>
    <t>מלון דיויד אינטטרקונטיננטל ת"א 14:30</t>
  </si>
  <si>
    <t>גיטרה בלבד , 500איש, עבור כנס התשתיות של ישראל</t>
  </si>
  <si>
    <t>חלונות אמפי שוני</t>
  </si>
  <si>
    <t>סביון מרכז לתרבות20:30</t>
  </si>
  <si>
    <t>אוגוסט26</t>
  </si>
  <si>
    <t>יובל 052-2604500</t>
  </si>
  <si>
    <t>בארבי מארח את ערן צור ורונה קינן</t>
  </si>
  <si>
    <t>בארבי מארח את פורטיס והילה רוח</t>
  </si>
  <si>
    <t>מתארח אצל לאה שבת היכל התרבות</t>
  </si>
  <si>
    <t>אפ-26</t>
  </si>
  <si>
    <t>מנועים שקטים, גבעת ברנר מארח את מאור כהן</t>
  </si>
  <si>
    <t>3 שירים</t>
  </si>
  <si>
    <t>אורית בן חיון מנהלת לאה 050-2844288</t>
  </si>
  <si>
    <t>מלון דן התעשייה האווירית</t>
  </si>
  <si>
    <t>ליה 050-4518076</t>
  </si>
  <si>
    <t>6הזמנות 4 חדרים 4טיסות</t>
  </si>
  <si>
    <t>מרכז ענב ת"א</t>
  </si>
  <si>
    <t>פרזנטציה</t>
  </si>
  <si>
    <t>יש במקום</t>
  </si>
  <si>
    <t>מורן 053-2503623</t>
  </si>
  <si>
    <t>ליטל לוגסי</t>
  </si>
  <si>
    <t>של המקום איתי 054-8015341</t>
  </si>
  <si>
    <t>קובי סיט 054-4507629</t>
  </si>
  <si>
    <t>ערב יום הולדת 71 קורין אלאל ,אקספו,ביתן2</t>
  </si>
  <si>
    <t>כרמי054-4647350</t>
  </si>
  <si>
    <t>שירה  גבאי 052-6198835</t>
  </si>
  <si>
    <t>עליהם רותם בן חמו 052-4881927</t>
  </si>
  <si>
    <t>הדוב הירוק</t>
  </si>
  <si>
    <t>מוצא עילית,אולם חלוצי האור</t>
  </si>
  <si>
    <t>חלונות אמפי כפר תבור</t>
  </si>
  <si>
    <t>סוסיתא עין גב(גן לאומי הר הסוסיתא) מופע שקיע</t>
  </si>
  <si>
    <t>טכנאטי סאונד ותאורה ,פסנתר וקלידים על חשבון המזמין , הפסטיבל מוקדש לחזרת המפונים חיזוק הצפון והוקרת חיילי צהל ופיקוד צפון</t>
  </si>
  <si>
    <t>על מזמין+פסנתר+קלידים</t>
  </si>
  <si>
    <t>מגדלור ירושלים מנועים שקטים מארח את הילה רוח</t>
  </si>
  <si>
    <t>נדחה מ12.3</t>
  </si>
  <si>
    <t>נדחה מ19.3</t>
  </si>
  <si>
    <t>אולם צוקר,היכל התרבות20:00</t>
  </si>
  <si>
    <t>זזמ21.3</t>
  </si>
  <si>
    <t>יידחה</t>
  </si>
  <si>
    <t>זזמ30.4</t>
  </si>
  <si>
    <t xml:space="preserve"> עתליה בכר054-548-9724</t>
  </si>
  <si>
    <t>רוני קאשי050-4344222</t>
  </si>
  <si>
    <t>זזמ26.3</t>
  </si>
  <si>
    <t>רחל050-6398188</t>
  </si>
  <si>
    <t>יום הולדת 80</t>
  </si>
  <si>
    <t>ריבר סייד,ת"א</t>
  </si>
  <si>
    <t>נדחה מ8.5</t>
  </si>
  <si>
    <t>אצל רונה קינן , צוקר 21:00</t>
  </si>
  <si>
    <t>עלנו ,נמר8K</t>
  </si>
  <si>
    <t>בין 21:00-21:30</t>
  </si>
  <si>
    <t>0524611466 גליה</t>
  </si>
  <si>
    <t>טרקלין</t>
  </si>
  <si>
    <t>נדחה מ28.5</t>
  </si>
  <si>
    <r>
      <t>18:00:00</t>
    </r>
    <r>
      <rPr>
        <strike/>
        <sz val="12"/>
        <color rgb="FFFF0000"/>
        <rFont val="Calibri"/>
        <family val="2"/>
      </rPr>
      <t>יידחה</t>
    </r>
  </si>
  <si>
    <r>
      <t>בריכת מונוסון,נוה מונסון ,ערב עצמאות</t>
    </r>
    <r>
      <rPr>
        <b/>
        <strike/>
        <sz val="12"/>
        <color rgb="FFFF0000"/>
        <rFont val="Calibri"/>
        <family val="2"/>
      </rPr>
      <t>??</t>
    </r>
  </si>
  <si>
    <t>תיקון שבועות, חוף הכרמל</t>
  </si>
  <si>
    <t>אפרת קדם 058-5523564</t>
  </si>
  <si>
    <t>צל החורש,אירוע חברה</t>
  </si>
  <si>
    <t>ליאור 0509513258</t>
  </si>
  <si>
    <t>לעובדי חברת renasas</t>
  </si>
  <si>
    <t>אצל ירמי קפלן מועדון חברים ג'ורג' ת"א( עצמאות)</t>
  </si>
  <si>
    <t>עצמאות רחבת הבימה , ת"א</t>
  </si>
  <si>
    <t>פתיחת דלתות 19:30</t>
  </si>
  <si>
    <t>על המזמין, פליקס</t>
  </si>
  <si>
    <t>קרן 054-4270572</t>
  </si>
  <si>
    <t xml:space="preserve">20:00מגדל דוד ירושלים, אירוע נעילת התערוכה  </t>
  </si>
  <si>
    <t>גיא נבון 052-4239153</t>
  </si>
  <si>
    <t>חלונות תמר מופע זריחה</t>
  </si>
  <si>
    <t xml:space="preserve">זז מ15.4 </t>
  </si>
  <si>
    <t xml:space="preserve">מנועים שקטים זאפה חיפה </t>
  </si>
  <si>
    <t>מנועים שקטים לילה לבן גן הפסגה</t>
  </si>
  <si>
    <t>נדחה מאפריל</t>
  </si>
  <si>
    <t>בית גבריאל, עין גב</t>
  </si>
  <si>
    <t xml:space="preserve"> בת חפר עמק חפר מושב אמץ,פסטיבל גשרים בנחל(בחוץ)</t>
  </si>
  <si>
    <t>כולל אירוח של יעל קראוס</t>
  </si>
  <si>
    <t>בוטל</t>
  </si>
  <si>
    <t>פבו-27</t>
  </si>
  <si>
    <t>מרכז אומנויות הבמה פרדס חנה (פרנדס)</t>
  </si>
  <si>
    <t>נמר לסגור</t>
  </si>
  <si>
    <t>אולם התרבות "הרעות" ,פרדסיה (פרנדס)</t>
  </si>
  <si>
    <t>היכל התרבות יבנה (פרנדס)</t>
  </si>
  <si>
    <t>אירית בר 0532503627</t>
  </si>
  <si>
    <t>היכל התרבות , יום הולדת 80 לחנן יובל</t>
  </si>
  <si>
    <t>השירים יבחרו ע"י דלית עופר</t>
  </si>
  <si>
    <t>מיכל שגיב 054-2254466</t>
  </si>
  <si>
    <t>חלונות  קפה אירופה</t>
  </si>
  <si>
    <t>חלונות מוזיאון הסובלנות ירושלים (בחוץ)</t>
  </si>
  <si>
    <t>היכל התרבות תל מונד</t>
  </si>
  <si>
    <t>טל 052-3354199</t>
  </si>
  <si>
    <t>תאטרון המסילה פ"ת</t>
  </si>
  <si>
    <t>מופע בהפתעה</t>
  </si>
  <si>
    <t>דרור 054-4977237</t>
  </si>
  <si>
    <t>6 הזמנות</t>
  </si>
  <si>
    <t>אצל מוניקה סקס, פארק רעננה(הופתעה)רדיו99</t>
  </si>
  <si>
    <t>עליהם ,תומר קורן054-4723307</t>
  </si>
  <si>
    <t>מופע שנות ה90 , תל עדשים</t>
  </si>
  <si>
    <t>רוני 052-8883332</t>
  </si>
  <si>
    <t>אסף יעזוב את המקום לא יאוחר מהשעה 1:00</t>
  </si>
  <si>
    <t>יתואם</t>
  </si>
  <si>
    <t>בר זבדה 052-5834396</t>
  </si>
  <si>
    <t>מגדה, מרכז תרבות מגידו</t>
  </si>
  <si>
    <t>ליעוז 052-6610151</t>
  </si>
  <si>
    <t>עם פסנתר , בית יד לבנים רמת השרון , רח המחתרת 2</t>
  </si>
  <si>
    <t>מיטל 055-9389393</t>
  </si>
  <si>
    <t>בן</t>
  </si>
  <si>
    <t>עם פסנתר</t>
  </si>
  <si>
    <t>מועדון הג'ורג' ,ת"א</t>
  </si>
  <si>
    <t>סטפני 054-7298501</t>
  </si>
  <si>
    <t>עליהם איתי פריד 054-8015341</t>
  </si>
  <si>
    <t>חלונות מבואות חרמון</t>
  </si>
  <si>
    <t>אצל אלון עדר בבארבי</t>
  </si>
  <si>
    <t>אדווה צברי 050-4441989</t>
  </si>
  <si>
    <t>רוני 052-2352160</t>
  </si>
  <si>
    <t>050-5776628רן</t>
  </si>
  <si>
    <t>לסגור השלמות?</t>
  </si>
  <si>
    <t>לתושבי מכמורת מופע התרמה למועדון השייט</t>
  </si>
  <si>
    <t>מופע התרמה ל מועדון השיט-דשא בית העם -מכמורת</t>
  </si>
  <si>
    <t>תקלוט, מצוקי דרגות , מופע DREAM</t>
  </si>
  <si>
    <t>אסף מיימון 052-2412783</t>
  </si>
  <si>
    <t>עליהם-נשלח מפרט תקלוט</t>
  </si>
  <si>
    <t>מתקלט</t>
  </si>
  <si>
    <t>פסטיבל עוף החול בtox ראשלצ רח לישנסקי 3</t>
  </si>
  <si>
    <t>כניסת קהל 11:00</t>
  </si>
  <si>
    <t>פברו-2027</t>
  </si>
  <si>
    <t>חלונות D ONE</t>
  </si>
  <si>
    <t>חלונות תאטרון הצפון</t>
  </si>
  <si>
    <t>אצל שלומי שבן באמפי שוני</t>
  </si>
  <si>
    <t>שונטי</t>
  </si>
  <si>
    <t>נדחה מ1.8</t>
  </si>
  <si>
    <t>אצל ארקדי דוכין, היכל התרבות</t>
  </si>
  <si>
    <t>אולם360 ק.אונו</t>
  </si>
  <si>
    <t>סולו פסנתר חשמלי</t>
  </si>
  <si>
    <t>נועה שור 052-5994559</t>
  </si>
  <si>
    <t>אצל דקסל אינפקדט</t>
  </si>
  <si>
    <t>בלילה של בין 28.9 לזריחה ב29.9</t>
  </si>
  <si>
    <t>D ONE21:00</t>
  </si>
  <si>
    <t>זז מ5.12</t>
  </si>
  <si>
    <t>חלונות במשכן ת"א</t>
  </si>
  <si>
    <t>מועדון TOX , רח לישנסקי3 ראשלצ</t>
  </si>
  <si>
    <t>19:30פתיחת דלתות , מופע ישיבה</t>
  </si>
  <si>
    <t xml:space="preserve">וילה אכדיה </t>
  </si>
  <si>
    <t>מרגלית 058-4007769</t>
  </si>
  <si>
    <t>60-70דק</t>
  </si>
  <si>
    <t>פסטיבל הפסנתר אילת אולם WOW רויאל גארדן</t>
  </si>
  <si>
    <t>ניצן 052-5788091</t>
  </si>
  <si>
    <t>ליהי גינדין 052-5785846</t>
  </si>
  <si>
    <t>קיבוץ כברי</t>
  </si>
  <si>
    <r>
      <t>חלונות ים המלח</t>
    </r>
    <r>
      <rPr>
        <b/>
        <sz val="12"/>
        <color rgb="FFFF0000"/>
        <rFont val="Calibri"/>
        <family val="2"/>
      </rPr>
      <t>-אופציה</t>
    </r>
  </si>
  <si>
    <r>
      <t>(</t>
    </r>
    <r>
      <rPr>
        <sz val="12"/>
        <color rgb="FFFF0000"/>
        <rFont val="Calibri"/>
        <family val="2"/>
      </rPr>
      <t>זזמ18.9</t>
    </r>
    <r>
      <rPr>
        <sz val="12"/>
        <rFont val="Calibri"/>
        <family val="2"/>
      </rPr>
      <t>)17:45 לערך</t>
    </r>
  </si>
  <si>
    <t>ספריה חדרה</t>
  </si>
  <si>
    <t>פרטים מול בן</t>
  </si>
  <si>
    <t>פסטיבל ת"א אולם רקאנטי</t>
  </si>
  <si>
    <t>30 שנים לאלבום השני</t>
  </si>
  <si>
    <t>ניצן052-5788091</t>
  </si>
  <si>
    <t>אפטאון ת"א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</si>
</sst>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Arial"/>
      <family val="2"/>
      <charset val="177"/>
      <scheme val="minor"/>
    </font>
    <font>
      <b/>
      <sz val="12"/>
      <name val="Calibri"/>
      <family val="2"/>
    </font>
    <font>
      <sz val="12"/>
      <name val="Calibri"/>
      <family val="2"/>
    </font>
    <font>
      <sz val="10"/>
      <color theme="1"/>
      <name val="Arial"/>
      <family val="2"/>
      <scheme val="minor"/>
    </font>
    <font>
      <b/>
      <sz val="12"/>
      <color rgb="FF000000"/>
      <name val="Calibri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</font>
    <font>
      <sz val="11"/>
      <color rgb="FF1F497D"/>
      <name val="Arial"/>
      <family val="2"/>
      <scheme val="minor"/>
    </font>
    <font>
      <b/>
      <sz val="12"/>
      <color rgb="FF4472C4"/>
      <name val="Arial"/>
      <family val="2"/>
      <scheme val="minor"/>
    </font>
    <font>
      <sz val="12"/>
      <color theme="1"/>
      <name val="Times New Roman"/>
      <family val="1"/>
    </font>
    <font>
      <sz val="11"/>
      <color rgb="FF1F497D"/>
      <name val="Arial"/>
      <family val="2"/>
    </font>
    <font>
      <u/>
      <sz val="12"/>
      <color theme="1"/>
      <name val="David"/>
      <family val="2"/>
    </font>
    <font>
      <sz val="12"/>
      <color rgb="FFFF0000"/>
      <name val="Calibri"/>
      <family val="2"/>
    </font>
    <font>
      <sz val="12"/>
      <color theme="1"/>
      <name val="Arial"/>
      <family val="2"/>
      <scheme val="minor"/>
    </font>
    <font>
      <strike/>
      <sz val="12"/>
      <name val="Calibri"/>
      <family val="2"/>
    </font>
    <font>
      <strike/>
      <sz val="12"/>
      <color theme="0"/>
      <name val="Calibri"/>
      <family val="2"/>
    </font>
    <font>
      <strike/>
      <sz val="12"/>
      <name val="Times New Roman"/>
      <family val="1"/>
    </font>
    <font>
      <strike/>
      <sz val="12"/>
      <color rgb="FF000000"/>
      <name val="Times New Roman"/>
      <family val="1"/>
    </font>
    <font>
      <b/>
      <strike/>
      <sz val="12"/>
      <color rgb="FFFF0000"/>
      <name val="Calibri"/>
      <family val="2"/>
    </font>
    <font>
      <strike/>
      <sz val="12"/>
      <color theme="0"/>
      <name val="Times New Roman"/>
      <family val="1"/>
    </font>
    <font>
      <b/>
      <strike/>
      <sz val="12"/>
      <color theme="0"/>
      <name val="Times New Roman"/>
      <family val="1"/>
    </font>
    <font>
      <strike/>
      <sz val="11"/>
      <color theme="1"/>
      <name val="Arial"/>
      <family val="2"/>
      <charset val="177"/>
      <scheme val="minor"/>
    </font>
    <font>
      <sz val="12"/>
      <color rgb="FF000000"/>
      <name val="Times New Roman"/>
      <family val="1"/>
    </font>
    <font>
      <b/>
      <u/>
      <sz val="11"/>
      <color theme="1"/>
      <name val="Arial"/>
      <family val="2"/>
    </font>
    <font>
      <strike/>
      <sz val="12"/>
      <color rgb="FFFF0000"/>
      <name val="Calibri"/>
      <family val="2"/>
    </font>
    <font>
      <strike/>
      <sz val="12"/>
      <color theme="1"/>
      <name val="Calibri"/>
      <family val="2"/>
    </font>
    <font>
      <sz val="11"/>
      <name val="Arial"/>
      <family val="2"/>
      <charset val="177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39997558519241921"/>
        <bgColor rgb="FFFFE598"/>
      </patternFill>
    </fill>
    <fill>
      <patternFill patternType="solid">
        <fgColor theme="4" tint="0.39997558519241921"/>
        <bgColor rgb="FFE9AFDA"/>
      </patternFill>
    </fill>
    <fill>
      <patternFill patternType="solid">
        <fgColor theme="4" tint="0.39997558519241921"/>
        <bgColor rgb="FFCAA6EE"/>
      </patternFill>
    </fill>
    <fill>
      <patternFill patternType="solid">
        <fgColor theme="4" tint="0.39997558519241921"/>
        <bgColor rgb="FF99FF9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3">
    <xf numFmtId="0" fontId="0" fillId="0" borderId="0" xfId="0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7" borderId="0" xfId="0" applyFill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4" fontId="2" fillId="7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7" fontId="1" fillId="9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20" fontId="3" fillId="0" borderId="1" xfId="0" applyNumberFormat="1" applyFont="1" applyBorder="1" applyAlignment="1">
      <alignment horizontal="center" wrapText="1" readingOrder="2"/>
    </xf>
    <xf numFmtId="0" fontId="3" fillId="7" borderId="1" xfId="0" applyFont="1" applyFill="1" applyBorder="1" applyAlignment="1">
      <alignment horizontal="center" wrapText="1" readingOrder="2"/>
    </xf>
    <xf numFmtId="0" fontId="2" fillId="0" borderId="1" xfId="0" applyFont="1" applyBorder="1" applyAlignment="1">
      <alignment horizontal="center"/>
    </xf>
    <xf numFmtId="20" fontId="2" fillId="7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0" fontId="3" fillId="8" borderId="1" xfId="0" applyNumberFormat="1" applyFont="1" applyFill="1" applyBorder="1" applyAlignment="1">
      <alignment horizontal="center" wrapText="1" readingOrder="2"/>
    </xf>
    <xf numFmtId="0" fontId="1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 wrapText="1" readingOrder="2"/>
    </xf>
    <xf numFmtId="0" fontId="3" fillId="0" borderId="1" xfId="0" applyFont="1" applyBorder="1" applyAlignment="1">
      <alignment horizontal="center" wrapText="1" readingOrder="2"/>
    </xf>
    <xf numFmtId="0" fontId="4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wrapText="1" readingOrder="2"/>
    </xf>
    <xf numFmtId="20" fontId="3" fillId="7" borderId="1" xfId="0" applyNumberFormat="1" applyFont="1" applyFill="1" applyBorder="1" applyAlignment="1">
      <alignment horizontal="center" wrapText="1" readingOrder="2"/>
    </xf>
    <xf numFmtId="0" fontId="2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right" vertical="center" readingOrder="2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7" borderId="0" xfId="0" applyFont="1" applyFill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 readingOrder="2"/>
    </xf>
    <xf numFmtId="0" fontId="2" fillId="0" borderId="1" xfId="0" applyFont="1" applyBorder="1" applyAlignment="1">
      <alignment horizontal="center"/>
    </xf>
    <xf numFmtId="20" fontId="7" fillId="1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" fontId="1" fillId="11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wrapText="1" readingOrder="2"/>
    </xf>
    <xf numFmtId="0" fontId="0" fillId="7" borderId="1" xfId="0" applyFill="1" applyBorder="1"/>
    <xf numFmtId="0" fontId="2" fillId="0" borderId="1" xfId="0" applyFont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0" fillId="7" borderId="1" xfId="0" applyFont="1" applyFill="1" applyBorder="1"/>
    <xf numFmtId="0" fontId="2" fillId="0" borderId="1" xfId="0" applyFont="1" applyBorder="1" applyAlignment="1">
      <alignment horizontal="center"/>
    </xf>
    <xf numFmtId="0" fontId="8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15" borderId="1" xfId="0" applyNumberFormat="1" applyFont="1" applyFill="1" applyBorder="1" applyAlignment="1">
      <alignment horizontal="center"/>
    </xf>
    <xf numFmtId="0" fontId="0" fillId="7" borderId="0" xfId="0" applyFill="1" applyBorder="1"/>
    <xf numFmtId="0" fontId="2" fillId="0" borderId="1" xfId="0" applyFont="1" applyBorder="1" applyAlignment="1">
      <alignment horizontal="center"/>
    </xf>
    <xf numFmtId="3" fontId="0" fillId="7" borderId="1" xfId="0" applyNumberFormat="1" applyFill="1" applyBorder="1"/>
    <xf numFmtId="0" fontId="2" fillId="0" borderId="1" xfId="0" applyFont="1" applyBorder="1" applyAlignment="1">
      <alignment horizontal="center"/>
    </xf>
    <xf numFmtId="17" fontId="1" fillId="15" borderId="1" xfId="0" applyNumberFormat="1" applyFont="1" applyFill="1" applyBorder="1" applyAlignment="1">
      <alignment horizontal="center"/>
    </xf>
    <xf numFmtId="17" fontId="1" fillId="16" borderId="1" xfId="0" applyNumberFormat="1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0" fillId="16" borderId="1" xfId="0" applyFill="1" applyBorder="1"/>
    <xf numFmtId="14" fontId="2" fillId="17" borderId="1" xfId="0" applyNumberFormat="1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20" fontId="2" fillId="17" borderId="1" xfId="0" applyNumberFormat="1" applyFont="1" applyFill="1" applyBorder="1" applyAlignment="1">
      <alignment horizontal="center"/>
    </xf>
    <xf numFmtId="0" fontId="2" fillId="17" borderId="0" xfId="0" applyFont="1" applyFill="1" applyBorder="1" applyAlignment="1">
      <alignment horizontal="center"/>
    </xf>
    <xf numFmtId="0" fontId="9" fillId="17" borderId="0" xfId="0" applyFont="1" applyFill="1"/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right" vertical="center" readingOrder="2"/>
    </xf>
    <xf numFmtId="0" fontId="11" fillId="11" borderId="0" xfId="0" applyFont="1" applyFill="1" applyAlignment="1">
      <alignment horizontal="right" vertical="center" readingOrder="2"/>
    </xf>
    <xf numFmtId="0" fontId="1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7" borderId="1" xfId="0" applyNumberFormat="1" applyFont="1" applyFill="1" applyBorder="1" applyAlignment="1">
      <alignment horizontal="center"/>
    </xf>
    <xf numFmtId="0" fontId="0" fillId="7" borderId="1" xfId="0" applyNumberFormat="1" applyFill="1" applyBorder="1"/>
    <xf numFmtId="0" fontId="0" fillId="7" borderId="0" xfId="0" applyNumberFormat="1" applyFill="1"/>
    <xf numFmtId="0" fontId="1" fillId="1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3" fillId="18" borderId="1" xfId="0" applyNumberFormat="1" applyFont="1" applyFill="1" applyBorder="1" applyAlignment="1">
      <alignment horizontal="center"/>
    </xf>
    <xf numFmtId="0" fontId="7" fillId="18" borderId="1" xfId="0" applyNumberFormat="1" applyFont="1" applyFill="1" applyBorder="1" applyAlignment="1">
      <alignment horizontal="center"/>
    </xf>
    <xf numFmtId="0" fontId="0" fillId="7" borderId="0" xfId="0" applyNumberFormat="1" applyFont="1" applyFill="1"/>
    <xf numFmtId="0" fontId="0" fillId="11" borderId="1" xfId="0" applyFill="1" applyBorder="1"/>
    <xf numFmtId="0" fontId="2" fillId="0" borderId="1" xfId="0" applyFont="1" applyBorder="1" applyAlignment="1">
      <alignment horizontal="center"/>
    </xf>
    <xf numFmtId="20" fontId="7" fillId="18" borderId="1" xfId="0" applyNumberFormat="1" applyFont="1" applyFill="1" applyBorder="1" applyAlignment="1">
      <alignment horizontal="center"/>
    </xf>
    <xf numFmtId="20" fontId="7" fillId="7" borderId="1" xfId="0" applyNumberFormat="1" applyFont="1" applyFill="1" applyBorder="1" applyAlignment="1">
      <alignment horizontal="center"/>
    </xf>
    <xf numFmtId="20" fontId="7" fillId="16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7" borderId="1" xfId="0" applyNumberFormat="1" applyFont="1" applyFill="1" applyBorder="1"/>
    <xf numFmtId="0" fontId="2" fillId="0" borderId="1" xfId="0" applyFont="1" applyBorder="1" applyAlignment="1">
      <alignment horizontal="center"/>
    </xf>
    <xf numFmtId="14" fontId="15" fillId="7" borderId="1" xfId="0" applyNumberFormat="1" applyFont="1" applyFill="1" applyBorder="1" applyAlignment="1">
      <alignment horizontal="center"/>
    </xf>
    <xf numFmtId="0" fontId="15" fillId="7" borderId="1" xfId="0" applyNumberFormat="1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0" borderId="1" xfId="0" applyNumberFormat="1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7" fillId="7" borderId="1" xfId="0" applyNumberFormat="1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18" fillId="0" borderId="0" xfId="0" applyFont="1" applyAlignment="1">
      <alignment vertical="center"/>
    </xf>
    <xf numFmtId="0" fontId="19" fillId="18" borderId="1" xfId="0" applyFont="1" applyFill="1" applyBorder="1" applyAlignment="1">
      <alignment horizontal="center"/>
    </xf>
    <xf numFmtId="17" fontId="1" fillId="10" borderId="1" xfId="0" applyNumberFormat="1" applyFont="1" applyFill="1" applyBorder="1" applyAlignment="1">
      <alignment horizontal="center"/>
    </xf>
    <xf numFmtId="20" fontId="19" fillId="18" borderId="1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20" fontId="20" fillId="20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0" fontId="19" fillId="7" borderId="1" xfId="0" applyNumberFormat="1" applyFont="1" applyFill="1" applyBorder="1" applyAlignment="1">
      <alignment horizontal="center"/>
    </xf>
    <xf numFmtId="0" fontId="22" fillId="7" borderId="1" xfId="0" applyFont="1" applyFill="1" applyBorder="1"/>
    <xf numFmtId="0" fontId="22" fillId="7" borderId="0" xfId="0" applyFont="1" applyFill="1"/>
    <xf numFmtId="0" fontId="13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13" borderId="1" xfId="0" applyFill="1" applyBorder="1"/>
    <xf numFmtId="0" fontId="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7" borderId="1" xfId="0" applyNumberFormat="1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2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0" fillId="18" borderId="0" xfId="0" applyFill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0" fillId="21" borderId="1" xfId="0" applyFill="1" applyBorder="1"/>
    <xf numFmtId="0" fontId="1" fillId="2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3" fillId="0" borderId="0" xfId="0" applyFont="1" applyAlignment="1">
      <alignment horizontal="right" vertical="center" readingOrder="2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20" fontId="13" fillId="0" borderId="1" xfId="0" applyNumberFormat="1" applyFont="1" applyBorder="1" applyAlignment="1">
      <alignment horizontal="center"/>
    </xf>
    <xf numFmtId="0" fontId="13" fillId="7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7" fontId="1" fillId="7" borderId="1" xfId="0" applyNumberFormat="1" applyFont="1" applyFill="1" applyBorder="1" applyAlignment="1">
      <alignment horizontal="center"/>
    </xf>
    <xf numFmtId="0" fontId="13" fillId="11" borderId="1" xfId="0" applyNumberFormat="1" applyFont="1" applyFill="1" applyBorder="1" applyAlignment="1">
      <alignment horizontal="center"/>
    </xf>
    <xf numFmtId="14" fontId="1" fillId="11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0" fontId="13" fillId="7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4" fillId="0" borderId="0" xfId="0" applyFont="1" applyAlignment="1">
      <alignment horizontal="right" vertical="center" readingOrder="2"/>
    </xf>
    <xf numFmtId="20" fontId="25" fillId="7" borderId="1" xfId="0" applyNumberFormat="1" applyFont="1" applyFill="1" applyBorder="1" applyAlignment="1">
      <alignment horizontal="center"/>
    </xf>
    <xf numFmtId="0" fontId="15" fillId="7" borderId="0" xfId="0" applyNumberFormat="1" applyFont="1" applyFill="1" applyBorder="1" applyAlignment="1">
      <alignment horizontal="center"/>
    </xf>
    <xf numFmtId="0" fontId="22" fillId="7" borderId="1" xfId="0" applyNumberFormat="1" applyFont="1" applyFill="1" applyBorder="1"/>
    <xf numFmtId="0" fontId="22" fillId="7" borderId="0" xfId="0" applyNumberFormat="1" applyFont="1" applyFill="1"/>
    <xf numFmtId="0" fontId="25" fillId="0" borderId="1" xfId="0" applyFont="1" applyBorder="1" applyAlignment="1">
      <alignment horizontal="center"/>
    </xf>
    <xf numFmtId="20" fontId="26" fillId="7" borderId="1" xfId="0" applyNumberFormat="1" applyFont="1" applyFill="1" applyBorder="1" applyAlignment="1">
      <alignment horizontal="center"/>
    </xf>
    <xf numFmtId="20" fontId="15" fillId="0" borderId="1" xfId="0" applyNumberFormat="1" applyFont="1" applyBorder="1" applyAlignment="1">
      <alignment horizontal="center"/>
    </xf>
    <xf numFmtId="0" fontId="2" fillId="7" borderId="0" xfId="0" applyNumberFormat="1" applyFont="1" applyFill="1" applyBorder="1" applyAlignment="1">
      <alignment horizontal="center"/>
    </xf>
    <xf numFmtId="0" fontId="0" fillId="9" borderId="1" xfId="0" applyFill="1" applyBorder="1"/>
    <xf numFmtId="0" fontId="2" fillId="0" borderId="1" xfId="0" applyFont="1" applyBorder="1" applyAlignment="1">
      <alignment horizontal="center"/>
    </xf>
    <xf numFmtId="0" fontId="0" fillId="9" borderId="0" xfId="0" applyFill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7" fillId="7" borderId="0" xfId="0" applyNumberFormat="1" applyFont="1" applyFill="1"/>
    <xf numFmtId="0" fontId="27" fillId="7" borderId="1" xfId="0" applyNumberFormat="1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L276"/>
  <sheetViews>
    <sheetView rightToLeft="1" tabSelected="1" topLeftCell="A231" workbookViewId="0">
      <selection activeCell="A237" sqref="A237"/>
    </sheetView>
  </sheetViews>
  <sheetFormatPr defaultRowHeight="15.75" x14ac:dyDescent="0.25"/>
  <cols>
    <col min="1" max="1" width="12.75" style="1" customWidth="1"/>
    <col min="2" max="2" width="18.875" style="1" customWidth="1"/>
    <col min="3" max="3" width="16.375" style="21" customWidth="1"/>
    <col min="4" max="4" width="46.75" style="1" customWidth="1"/>
    <col min="5" max="5" width="21.875" style="1" customWidth="1"/>
    <col min="6" max="6" width="39.375" style="9" customWidth="1"/>
    <col min="7" max="7" width="10.625" style="1" customWidth="1"/>
    <col min="8" max="8" width="19.75" style="1" customWidth="1"/>
    <col min="9" max="9" width="13.25" style="10" customWidth="1"/>
    <col min="10" max="10" width="70.75" style="1" customWidth="1"/>
    <col min="11" max="12" width="9" style="8"/>
  </cols>
  <sheetData>
    <row r="1" spans="1:11" x14ac:dyDescent="0.25">
      <c r="A1" s="241" t="s">
        <v>102</v>
      </c>
      <c r="B1" s="241"/>
      <c r="C1" s="241"/>
      <c r="D1" s="242"/>
      <c r="E1" s="242"/>
      <c r="F1" s="242"/>
      <c r="G1" s="242"/>
      <c r="H1" s="242"/>
    </row>
    <row r="2" spans="1:11" x14ac:dyDescent="0.25">
      <c r="A2" s="2" t="s">
        <v>0</v>
      </c>
      <c r="B2" s="2" t="s">
        <v>3</v>
      </c>
      <c r="C2" s="2" t="s">
        <v>18</v>
      </c>
      <c r="D2" s="3" t="s">
        <v>1</v>
      </c>
      <c r="E2" s="4" t="s">
        <v>9</v>
      </c>
      <c r="F2" s="4" t="s">
        <v>5</v>
      </c>
      <c r="G2" s="5" t="s">
        <v>7</v>
      </c>
      <c r="H2" s="6" t="s">
        <v>6</v>
      </c>
      <c r="I2" s="6" t="s">
        <v>8</v>
      </c>
      <c r="J2" s="77" t="s">
        <v>2</v>
      </c>
      <c r="K2" s="75" t="s">
        <v>116</v>
      </c>
    </row>
    <row r="3" spans="1:11" ht="0.75" customHeight="1" x14ac:dyDescent="0.25">
      <c r="A3" s="16" t="s">
        <v>12</v>
      </c>
      <c r="B3" s="17"/>
      <c r="C3" s="17"/>
      <c r="D3" s="17"/>
      <c r="E3" s="22"/>
      <c r="F3" s="17"/>
      <c r="G3" s="17"/>
      <c r="H3" s="17"/>
      <c r="I3" s="17"/>
      <c r="J3" s="78"/>
      <c r="K3" s="75"/>
    </row>
    <row r="4" spans="1:11" hidden="1" x14ac:dyDescent="0.25">
      <c r="A4" s="15">
        <v>44934</v>
      </c>
      <c r="B4" s="36" t="s">
        <v>24</v>
      </c>
      <c r="C4" s="12"/>
      <c r="D4" s="12"/>
      <c r="E4" s="33"/>
      <c r="F4" s="7"/>
      <c r="G4" s="7"/>
      <c r="H4" s="7"/>
      <c r="I4" s="7"/>
      <c r="J4" s="79"/>
      <c r="K4" s="75"/>
    </row>
    <row r="5" spans="1:11" hidden="1" x14ac:dyDescent="0.25">
      <c r="A5" s="34">
        <v>44938</v>
      </c>
      <c r="B5" s="23">
        <v>0.875</v>
      </c>
      <c r="C5" s="23" t="s">
        <v>19</v>
      </c>
      <c r="D5" s="35" t="s">
        <v>17</v>
      </c>
      <c r="E5" s="33" t="s">
        <v>14</v>
      </c>
      <c r="F5" s="20"/>
      <c r="G5" s="19" t="s">
        <v>15</v>
      </c>
      <c r="H5" s="7"/>
      <c r="I5" s="7"/>
      <c r="J5" s="79"/>
      <c r="K5" s="75"/>
    </row>
    <row r="6" spans="1:11" hidden="1" x14ac:dyDescent="0.25">
      <c r="A6" s="34">
        <v>44945</v>
      </c>
      <c r="B6" s="23">
        <v>0.875</v>
      </c>
      <c r="C6" s="23"/>
      <c r="D6" s="35" t="s">
        <v>43</v>
      </c>
      <c r="E6" s="33">
        <v>544839827</v>
      </c>
      <c r="F6" s="20" t="s">
        <v>44</v>
      </c>
      <c r="G6" s="25" t="s">
        <v>22</v>
      </c>
      <c r="H6" s="7"/>
      <c r="I6" s="7"/>
      <c r="J6" s="79"/>
      <c r="K6" s="75"/>
    </row>
    <row r="7" spans="1:11" hidden="1" x14ac:dyDescent="0.25">
      <c r="A7" s="15">
        <v>44950</v>
      </c>
      <c r="B7" s="13" t="s">
        <v>25</v>
      </c>
      <c r="C7" s="29"/>
      <c r="D7" s="37"/>
      <c r="E7" s="33"/>
      <c r="F7" s="20"/>
      <c r="G7" s="28"/>
      <c r="H7" s="7"/>
      <c r="I7" s="7"/>
      <c r="J7" s="79"/>
      <c r="K7" s="75"/>
    </row>
    <row r="8" spans="1:11" hidden="1" x14ac:dyDescent="0.25">
      <c r="A8" s="14"/>
      <c r="B8" s="7"/>
      <c r="C8" s="7"/>
      <c r="D8" s="7"/>
      <c r="E8" s="33"/>
      <c r="F8" s="7"/>
      <c r="G8" s="7"/>
      <c r="H8" s="7"/>
      <c r="I8" s="7"/>
      <c r="J8" s="79"/>
      <c r="K8" s="75"/>
    </row>
    <row r="9" spans="1:11" hidden="1" x14ac:dyDescent="0.25">
      <c r="A9" s="18">
        <v>44958</v>
      </c>
      <c r="B9" s="17"/>
      <c r="C9" s="17"/>
      <c r="D9" s="17"/>
      <c r="E9" s="17"/>
      <c r="F9" s="17"/>
      <c r="G9" s="17"/>
      <c r="H9" s="17"/>
      <c r="I9" s="17"/>
      <c r="J9" s="78"/>
      <c r="K9" s="75"/>
    </row>
    <row r="10" spans="1:11" hidden="1" x14ac:dyDescent="0.25">
      <c r="A10" s="27">
        <v>44965</v>
      </c>
      <c r="B10" s="13" t="s">
        <v>26</v>
      </c>
      <c r="C10" s="12"/>
      <c r="D10" s="12"/>
      <c r="E10" s="7"/>
      <c r="F10" s="7"/>
      <c r="G10" s="7"/>
      <c r="H10" s="7"/>
      <c r="I10" s="7"/>
      <c r="J10" s="79"/>
      <c r="K10" s="75"/>
    </row>
    <row r="11" spans="1:11" hidden="1" x14ac:dyDescent="0.25">
      <c r="A11" s="15">
        <v>44966</v>
      </c>
      <c r="B11" s="26">
        <v>0.91666666666666663</v>
      </c>
      <c r="C11" s="7"/>
      <c r="D11" s="7" t="s">
        <v>23</v>
      </c>
      <c r="E11" s="25" t="s">
        <v>16</v>
      </c>
      <c r="F11" s="7"/>
      <c r="G11" s="25" t="s">
        <v>10</v>
      </c>
      <c r="J11" s="80"/>
      <c r="K11" s="75"/>
    </row>
    <row r="12" spans="1:11" hidden="1" x14ac:dyDescent="0.25">
      <c r="A12" s="27">
        <v>44975</v>
      </c>
      <c r="D12" s="1" t="s">
        <v>36</v>
      </c>
      <c r="E12" s="1" t="s">
        <v>51</v>
      </c>
      <c r="G12" s="1" t="s">
        <v>4</v>
      </c>
      <c r="H12" s="1" t="s">
        <v>37</v>
      </c>
      <c r="J12" s="80"/>
      <c r="K12" s="75"/>
    </row>
    <row r="13" spans="1:11" hidden="1" x14ac:dyDescent="0.25">
      <c r="A13" s="27">
        <v>44979</v>
      </c>
      <c r="B13" s="14"/>
      <c r="C13" s="44"/>
      <c r="D13" s="44" t="s">
        <v>53</v>
      </c>
      <c r="E13" s="44" t="s">
        <v>54</v>
      </c>
      <c r="F13" s="44"/>
      <c r="G13" s="44" t="s">
        <v>4</v>
      </c>
      <c r="H13" s="44"/>
      <c r="I13" s="44"/>
      <c r="J13" s="80"/>
      <c r="K13" s="75"/>
    </row>
    <row r="14" spans="1:11" hidden="1" x14ac:dyDescent="0.25">
      <c r="A14" s="18">
        <v>44986</v>
      </c>
      <c r="B14" s="17"/>
      <c r="C14" s="17"/>
      <c r="D14" s="17"/>
      <c r="E14" s="17"/>
      <c r="F14" s="17"/>
      <c r="G14" s="17"/>
      <c r="H14" s="39"/>
      <c r="I14" s="39"/>
      <c r="J14" s="81"/>
      <c r="K14" s="75"/>
    </row>
    <row r="15" spans="1:11" hidden="1" x14ac:dyDescent="0.25">
      <c r="A15" s="34">
        <v>44987</v>
      </c>
      <c r="B15" s="38">
        <v>0.875</v>
      </c>
      <c r="C15" s="24" t="s">
        <v>29</v>
      </c>
      <c r="D15" s="35" t="s">
        <v>27</v>
      </c>
      <c r="E15" s="33" t="s">
        <v>28</v>
      </c>
      <c r="F15" s="7"/>
      <c r="G15" s="7" t="s">
        <v>13</v>
      </c>
      <c r="H15" s="7" t="s">
        <v>11</v>
      </c>
      <c r="I15" s="7"/>
      <c r="J15" s="79" t="s">
        <v>30</v>
      </c>
      <c r="K15" s="75"/>
    </row>
    <row r="16" spans="1:11" s="45" customFormat="1" hidden="1" x14ac:dyDescent="0.25">
      <c r="A16" s="15">
        <v>44991</v>
      </c>
      <c r="B16" s="7"/>
      <c r="C16" s="7"/>
      <c r="D16" s="7" t="s">
        <v>40</v>
      </c>
      <c r="E16" s="7" t="s">
        <v>41</v>
      </c>
      <c r="F16" s="7"/>
      <c r="G16" s="7" t="s">
        <v>21</v>
      </c>
      <c r="H16" s="7"/>
      <c r="I16" s="7"/>
      <c r="J16" s="79"/>
      <c r="K16" s="83"/>
    </row>
    <row r="17" spans="1:11" s="8" customFormat="1" hidden="1" x14ac:dyDescent="0.25">
      <c r="A17" s="15">
        <v>44994</v>
      </c>
      <c r="B17" s="56" t="s">
        <v>68</v>
      </c>
      <c r="C17" s="7" t="s">
        <v>56</v>
      </c>
      <c r="D17" s="7" t="s">
        <v>67</v>
      </c>
      <c r="E17" s="33" t="s">
        <v>59</v>
      </c>
      <c r="F17" s="7" t="s">
        <v>57</v>
      </c>
      <c r="G17" s="7" t="s">
        <v>4</v>
      </c>
      <c r="H17" s="7" t="s">
        <v>58</v>
      </c>
      <c r="I17" s="7"/>
      <c r="J17" s="79"/>
      <c r="K17" s="75"/>
    </row>
    <row r="18" spans="1:11" hidden="1" x14ac:dyDescent="0.25">
      <c r="A18" s="27">
        <v>44997</v>
      </c>
      <c r="B18" s="26">
        <v>0.83333333333333337</v>
      </c>
      <c r="C18" s="47" t="s">
        <v>19</v>
      </c>
      <c r="D18" s="47" t="s">
        <v>70</v>
      </c>
      <c r="E18" s="47" t="s">
        <v>71</v>
      </c>
      <c r="F18" s="47"/>
      <c r="G18" s="47" t="s">
        <v>72</v>
      </c>
      <c r="H18" s="47" t="s">
        <v>37</v>
      </c>
      <c r="I18" s="47"/>
      <c r="J18" s="80"/>
      <c r="K18" s="75"/>
    </row>
    <row r="19" spans="1:11" hidden="1" x14ac:dyDescent="0.25">
      <c r="A19" s="27">
        <v>45006</v>
      </c>
      <c r="B19" s="26">
        <v>0.72916666666666663</v>
      </c>
      <c r="C19" s="52" t="s">
        <v>56</v>
      </c>
      <c r="D19" s="52" t="s">
        <v>62</v>
      </c>
      <c r="E19" s="52" t="s">
        <v>63</v>
      </c>
      <c r="F19" s="7" t="s">
        <v>57</v>
      </c>
      <c r="G19" s="52" t="s">
        <v>21</v>
      </c>
      <c r="H19" s="52" t="s">
        <v>11</v>
      </c>
      <c r="I19" s="52"/>
      <c r="J19" s="80"/>
      <c r="K19" s="75"/>
    </row>
    <row r="20" spans="1:11" hidden="1" x14ac:dyDescent="0.25">
      <c r="A20" s="27">
        <v>45007</v>
      </c>
      <c r="B20" s="14"/>
      <c r="C20" s="44"/>
      <c r="D20" s="47" t="s">
        <v>39</v>
      </c>
      <c r="E20" s="47"/>
      <c r="F20" s="44"/>
      <c r="G20" s="44" t="s">
        <v>4</v>
      </c>
      <c r="H20" s="44"/>
      <c r="I20" s="44"/>
      <c r="J20" s="80"/>
      <c r="K20" s="75"/>
    </row>
    <row r="21" spans="1:11" hidden="1" x14ac:dyDescent="0.25">
      <c r="A21" s="27">
        <v>45009</v>
      </c>
      <c r="B21" s="26">
        <v>0.625</v>
      </c>
      <c r="C21" s="46"/>
      <c r="D21" s="47" t="s">
        <v>42</v>
      </c>
      <c r="E21" s="49" t="s">
        <v>55</v>
      </c>
      <c r="G21" s="46" t="s">
        <v>4</v>
      </c>
      <c r="H21" s="46" t="s">
        <v>45</v>
      </c>
      <c r="I21" s="46"/>
      <c r="J21" s="80" t="s">
        <v>46</v>
      </c>
      <c r="K21" s="75"/>
    </row>
    <row r="22" spans="1:11" hidden="1" x14ac:dyDescent="0.25">
      <c r="A22" s="27">
        <v>45013</v>
      </c>
      <c r="B22" s="26">
        <v>0.41666666666666669</v>
      </c>
      <c r="C22" s="55"/>
      <c r="D22" s="51" t="s">
        <v>78</v>
      </c>
      <c r="E22" s="51" t="s">
        <v>63</v>
      </c>
      <c r="F22" s="7" t="s">
        <v>57</v>
      </c>
      <c r="G22" s="55" t="s">
        <v>21</v>
      </c>
      <c r="H22" s="55" t="s">
        <v>73</v>
      </c>
      <c r="I22" s="55">
        <v>300</v>
      </c>
      <c r="J22" s="41" t="s">
        <v>69</v>
      </c>
      <c r="K22" s="75"/>
    </row>
    <row r="23" spans="1:11" hidden="1" x14ac:dyDescent="0.25">
      <c r="A23" s="27" t="s">
        <v>89</v>
      </c>
      <c r="B23" s="26"/>
      <c r="C23" s="62"/>
      <c r="D23" s="51" t="s">
        <v>90</v>
      </c>
      <c r="E23" s="51"/>
      <c r="F23" s="7"/>
      <c r="G23" s="62" t="s">
        <v>4</v>
      </c>
      <c r="H23" s="62"/>
      <c r="I23" s="62"/>
      <c r="J23" s="41"/>
      <c r="K23" s="75"/>
    </row>
    <row r="24" spans="1:11" hidden="1" x14ac:dyDescent="0.25">
      <c r="A24" s="27">
        <v>45015</v>
      </c>
      <c r="B24" s="11">
        <v>0.85416666666666663</v>
      </c>
      <c r="C24" s="21" t="s">
        <v>20</v>
      </c>
      <c r="D24" s="54" t="s">
        <v>61</v>
      </c>
      <c r="E24" s="42" t="s">
        <v>31</v>
      </c>
      <c r="F24" s="9" t="s">
        <v>32</v>
      </c>
      <c r="G24" s="1" t="s">
        <v>22</v>
      </c>
      <c r="H24" s="1" t="s">
        <v>11</v>
      </c>
      <c r="I24" s="10" t="s">
        <v>35</v>
      </c>
      <c r="J24" s="80"/>
      <c r="K24" s="75"/>
    </row>
    <row r="25" spans="1:11" hidden="1" x14ac:dyDescent="0.25">
      <c r="A25" s="18">
        <v>45017</v>
      </c>
      <c r="B25" s="17"/>
      <c r="C25" s="17"/>
      <c r="D25" s="17"/>
      <c r="E25" s="17"/>
      <c r="F25" s="17"/>
      <c r="G25" s="17"/>
      <c r="H25" s="17"/>
      <c r="I25" s="17"/>
      <c r="J25" s="78"/>
      <c r="K25" s="75"/>
    </row>
    <row r="26" spans="1:11" hidden="1" x14ac:dyDescent="0.25">
      <c r="A26" s="27">
        <v>45046</v>
      </c>
      <c r="B26" s="11">
        <v>0.41666666666666669</v>
      </c>
      <c r="D26" s="1" t="s">
        <v>103</v>
      </c>
      <c r="G26" s="1" t="s">
        <v>21</v>
      </c>
      <c r="J26" s="80"/>
      <c r="K26" s="75"/>
    </row>
    <row r="27" spans="1:11" ht="10.5" hidden="1" customHeight="1" x14ac:dyDescent="0.25">
      <c r="A27" s="18">
        <v>45047</v>
      </c>
      <c r="B27" s="17"/>
      <c r="C27" s="17"/>
      <c r="D27" s="17"/>
      <c r="E27" s="17"/>
      <c r="F27" s="17"/>
      <c r="G27" s="17"/>
      <c r="H27" s="17"/>
      <c r="I27" s="17"/>
      <c r="J27" s="78"/>
      <c r="K27" s="75"/>
    </row>
    <row r="28" spans="1:11" hidden="1" x14ac:dyDescent="0.25">
      <c r="A28" s="27">
        <v>45050</v>
      </c>
      <c r="B28" s="26">
        <v>0.91666666666666663</v>
      </c>
      <c r="C28" s="7"/>
      <c r="D28" s="7" t="s">
        <v>23</v>
      </c>
      <c r="E28" s="43" t="s">
        <v>16</v>
      </c>
      <c r="F28" s="7"/>
      <c r="G28" s="1" t="s">
        <v>10</v>
      </c>
      <c r="J28" s="80"/>
      <c r="K28" s="75"/>
    </row>
    <row r="29" spans="1:11" hidden="1" x14ac:dyDescent="0.25">
      <c r="A29" s="27">
        <v>45052</v>
      </c>
      <c r="B29" s="11">
        <v>0.875</v>
      </c>
      <c r="C29" s="21" t="s">
        <v>19</v>
      </c>
      <c r="D29" s="40" t="s">
        <v>38</v>
      </c>
      <c r="E29" s="41" t="s">
        <v>34</v>
      </c>
      <c r="F29" s="9" t="s">
        <v>33</v>
      </c>
      <c r="G29" s="1" t="s">
        <v>22</v>
      </c>
      <c r="J29" s="80"/>
      <c r="K29" s="75"/>
    </row>
    <row r="30" spans="1:11" hidden="1" x14ac:dyDescent="0.25">
      <c r="A30" s="27">
        <v>45057</v>
      </c>
      <c r="B30" s="11">
        <v>0.875</v>
      </c>
      <c r="C30" s="69" t="s">
        <v>104</v>
      </c>
      <c r="D30" s="69" t="s">
        <v>111</v>
      </c>
      <c r="E30" s="41" t="s">
        <v>105</v>
      </c>
      <c r="F30" s="69"/>
      <c r="G30" s="69" t="s">
        <v>21</v>
      </c>
      <c r="H30" s="69" t="s">
        <v>106</v>
      </c>
      <c r="I30" s="69" t="s">
        <v>107</v>
      </c>
      <c r="J30" s="80" t="s">
        <v>108</v>
      </c>
      <c r="K30" s="75"/>
    </row>
    <row r="31" spans="1:11" hidden="1" x14ac:dyDescent="0.25">
      <c r="A31" s="27">
        <v>45061</v>
      </c>
      <c r="B31" s="11"/>
      <c r="C31" s="59"/>
      <c r="D31" s="59" t="s">
        <v>86</v>
      </c>
      <c r="E31" s="60" t="s">
        <v>88</v>
      </c>
      <c r="F31" s="7" t="s">
        <v>57</v>
      </c>
      <c r="G31" s="59" t="s">
        <v>21</v>
      </c>
      <c r="H31" s="59"/>
      <c r="I31" s="59"/>
      <c r="J31" s="80" t="s">
        <v>87</v>
      </c>
      <c r="K31" s="75"/>
    </row>
    <row r="32" spans="1:11" hidden="1" x14ac:dyDescent="0.25">
      <c r="A32" s="27">
        <v>45064</v>
      </c>
      <c r="D32" s="1" t="s">
        <v>48</v>
      </c>
      <c r="E32" s="48" t="s">
        <v>16</v>
      </c>
      <c r="G32" s="1" t="s">
        <v>10</v>
      </c>
      <c r="J32" s="80"/>
      <c r="K32" s="75"/>
    </row>
    <row r="33" spans="1:11" hidden="1" x14ac:dyDescent="0.25">
      <c r="A33" s="27">
        <v>45070</v>
      </c>
      <c r="B33" s="11">
        <v>0.875</v>
      </c>
      <c r="C33" s="57" t="s">
        <v>19</v>
      </c>
      <c r="D33" s="57" t="s">
        <v>74</v>
      </c>
      <c r="E33" s="41" t="s">
        <v>77</v>
      </c>
      <c r="F33" s="57" t="s">
        <v>33</v>
      </c>
      <c r="G33" s="57" t="s">
        <v>10</v>
      </c>
      <c r="H33" s="57" t="s">
        <v>75</v>
      </c>
      <c r="I33" s="57" t="s">
        <v>76</v>
      </c>
      <c r="J33" s="80"/>
      <c r="K33" s="75"/>
    </row>
    <row r="34" spans="1:11" hidden="1" x14ac:dyDescent="0.25">
      <c r="A34" s="27">
        <v>45077</v>
      </c>
      <c r="B34" s="11" t="s">
        <v>112</v>
      </c>
      <c r="C34" s="70" t="s">
        <v>56</v>
      </c>
      <c r="D34" s="70" t="s">
        <v>109</v>
      </c>
      <c r="E34" s="51" t="s">
        <v>63</v>
      </c>
      <c r="F34" s="7" t="s">
        <v>57</v>
      </c>
      <c r="G34" s="70" t="s">
        <v>21</v>
      </c>
      <c r="H34" s="70" t="s">
        <v>110</v>
      </c>
      <c r="I34" s="70"/>
      <c r="J34" s="80"/>
      <c r="K34" s="75"/>
    </row>
    <row r="35" spans="1:11" hidden="1" x14ac:dyDescent="0.25">
      <c r="A35" s="18">
        <v>45078</v>
      </c>
      <c r="B35" s="17"/>
      <c r="C35" s="17"/>
      <c r="D35" s="17"/>
      <c r="E35" s="17"/>
      <c r="F35" s="17"/>
      <c r="G35" s="17"/>
      <c r="H35" s="17"/>
      <c r="I35" s="17"/>
      <c r="J35" s="78"/>
      <c r="K35" s="75"/>
    </row>
    <row r="36" spans="1:11" hidden="1" x14ac:dyDescent="0.25">
      <c r="A36" s="27">
        <v>45092</v>
      </c>
      <c r="B36" s="26">
        <v>0.91666666666666663</v>
      </c>
      <c r="C36" s="7" t="s">
        <v>20</v>
      </c>
      <c r="D36" s="7" t="s">
        <v>23</v>
      </c>
      <c r="E36" s="43" t="s">
        <v>16</v>
      </c>
      <c r="F36" s="7"/>
      <c r="G36" s="25" t="s">
        <v>10</v>
      </c>
      <c r="J36" s="80"/>
      <c r="K36" s="75"/>
    </row>
    <row r="37" spans="1:11" s="8" customFormat="1" hidden="1" x14ac:dyDescent="0.25">
      <c r="A37" s="18">
        <v>45108</v>
      </c>
      <c r="B37" s="17"/>
      <c r="C37" s="17"/>
      <c r="D37" s="17"/>
      <c r="E37" s="17"/>
      <c r="F37" s="17"/>
      <c r="G37" s="17"/>
      <c r="H37" s="17"/>
      <c r="I37" s="17"/>
      <c r="J37" s="78"/>
      <c r="K37" s="75"/>
    </row>
    <row r="38" spans="1:11" hidden="1" x14ac:dyDescent="0.25">
      <c r="A38" s="27">
        <v>45119</v>
      </c>
      <c r="B38" s="11">
        <v>0.84375</v>
      </c>
      <c r="C38" s="21" t="s">
        <v>20</v>
      </c>
      <c r="D38" s="1" t="s">
        <v>129</v>
      </c>
      <c r="E38" s="84" t="s">
        <v>126</v>
      </c>
      <c r="F38" s="9" t="s">
        <v>127</v>
      </c>
      <c r="G38" s="1" t="s">
        <v>21</v>
      </c>
      <c r="H38" s="1" t="s">
        <v>11</v>
      </c>
      <c r="I38" s="10" t="s">
        <v>128</v>
      </c>
      <c r="J38" s="80"/>
      <c r="K38" s="75" t="s">
        <v>130</v>
      </c>
    </row>
    <row r="39" spans="1:11" hidden="1" x14ac:dyDescent="0.25">
      <c r="A39" s="27">
        <v>45136</v>
      </c>
      <c r="B39" s="11"/>
      <c r="C39" s="86"/>
      <c r="D39" s="86" t="s">
        <v>134</v>
      </c>
      <c r="E39" s="86" t="s">
        <v>135</v>
      </c>
      <c r="F39" s="86"/>
      <c r="G39" s="86"/>
      <c r="H39" s="86"/>
      <c r="I39" s="86"/>
      <c r="J39" s="80"/>
      <c r="K39" s="75"/>
    </row>
    <row r="40" spans="1:11" s="8" customFormat="1" hidden="1" x14ac:dyDescent="0.25">
      <c r="A40" s="18">
        <v>45139</v>
      </c>
      <c r="B40" s="17"/>
      <c r="C40" s="17"/>
      <c r="D40" s="17"/>
      <c r="E40" s="17"/>
      <c r="F40" s="17"/>
      <c r="G40" s="17"/>
      <c r="H40" s="17"/>
      <c r="I40" s="17"/>
      <c r="J40" s="78"/>
      <c r="K40" s="75"/>
    </row>
    <row r="41" spans="1:11" hidden="1" x14ac:dyDescent="0.25">
      <c r="A41" s="27">
        <v>45145</v>
      </c>
      <c r="B41" s="11">
        <v>0.88541666666666663</v>
      </c>
      <c r="C41" s="21" t="s">
        <v>20</v>
      </c>
      <c r="D41" s="1" t="s">
        <v>115</v>
      </c>
      <c r="E41" s="9" t="s">
        <v>120</v>
      </c>
      <c r="F41" s="9" t="s">
        <v>122</v>
      </c>
      <c r="G41" s="1" t="s">
        <v>21</v>
      </c>
      <c r="H41" s="1" t="s">
        <v>11</v>
      </c>
      <c r="I41" s="10" t="s">
        <v>121</v>
      </c>
      <c r="J41" s="80"/>
      <c r="K41" s="75" t="s">
        <v>123</v>
      </c>
    </row>
    <row r="42" spans="1:11" hidden="1" x14ac:dyDescent="0.25">
      <c r="A42" s="27">
        <v>45148</v>
      </c>
      <c r="B42" s="26">
        <v>0.91666666666666663</v>
      </c>
      <c r="C42" s="7" t="s">
        <v>20</v>
      </c>
      <c r="D42" s="7" t="s">
        <v>23</v>
      </c>
      <c r="E42" s="43" t="s">
        <v>16</v>
      </c>
      <c r="G42" s="1" t="s">
        <v>10</v>
      </c>
      <c r="J42" s="80"/>
      <c r="K42" s="75"/>
    </row>
    <row r="43" spans="1:11" hidden="1" x14ac:dyDescent="0.25">
      <c r="A43" s="27">
        <v>45148</v>
      </c>
      <c r="B43" s="26">
        <v>3.125E-2</v>
      </c>
      <c r="C43" s="7"/>
      <c r="D43" s="7" t="s">
        <v>91</v>
      </c>
      <c r="E43" s="50" t="s">
        <v>92</v>
      </c>
      <c r="F43" s="50" t="s">
        <v>93</v>
      </c>
      <c r="G43" s="50" t="s">
        <v>4</v>
      </c>
      <c r="H43" s="65" t="s">
        <v>37</v>
      </c>
      <c r="I43" s="50"/>
      <c r="J43" s="80" t="s">
        <v>94</v>
      </c>
      <c r="K43" s="75"/>
    </row>
    <row r="44" spans="1:11" hidden="1" x14ac:dyDescent="0.25">
      <c r="A44" s="27">
        <v>45164</v>
      </c>
      <c r="B44" s="26"/>
      <c r="C44" s="7" t="s">
        <v>20</v>
      </c>
      <c r="D44" s="7" t="s">
        <v>153</v>
      </c>
      <c r="E44" s="91" t="s">
        <v>16</v>
      </c>
      <c r="F44" s="91" t="s">
        <v>154</v>
      </c>
      <c r="G44" s="91" t="s">
        <v>10</v>
      </c>
      <c r="H44" s="91"/>
      <c r="I44" s="91"/>
      <c r="J44" s="80"/>
      <c r="K44" s="75"/>
    </row>
    <row r="45" spans="1:11" hidden="1" x14ac:dyDescent="0.25">
      <c r="A45" s="27">
        <v>45169</v>
      </c>
      <c r="B45" s="14"/>
      <c r="D45" s="1" t="s">
        <v>49</v>
      </c>
      <c r="E45" s="1" t="s">
        <v>60</v>
      </c>
      <c r="F45" s="9" t="s">
        <v>57</v>
      </c>
      <c r="G45" s="1" t="s">
        <v>13</v>
      </c>
      <c r="H45" s="1" t="s">
        <v>37</v>
      </c>
      <c r="I45" s="10" t="s">
        <v>52</v>
      </c>
      <c r="J45" s="80"/>
      <c r="K45" s="75"/>
    </row>
    <row r="46" spans="1:11" hidden="1" x14ac:dyDescent="0.25">
      <c r="J46" s="80"/>
      <c r="K46" s="75"/>
    </row>
    <row r="47" spans="1:11" hidden="1" x14ac:dyDescent="0.25">
      <c r="J47" s="80"/>
      <c r="K47" s="75"/>
    </row>
    <row r="48" spans="1:11" s="8" customFormat="1" hidden="1" x14ac:dyDescent="0.25">
      <c r="A48" s="18">
        <v>45170</v>
      </c>
      <c r="B48" s="17"/>
      <c r="C48" s="17"/>
      <c r="D48" s="17"/>
      <c r="E48" s="17"/>
      <c r="F48" s="17"/>
      <c r="G48" s="17"/>
      <c r="H48" s="17"/>
      <c r="I48" s="17"/>
      <c r="J48" s="78"/>
      <c r="K48" s="75"/>
    </row>
    <row r="49" spans="1:11" s="8" customFormat="1" hidden="1" x14ac:dyDescent="0.25">
      <c r="A49" s="15">
        <v>45174</v>
      </c>
      <c r="B49" s="26">
        <v>0.89583333333333337</v>
      </c>
      <c r="C49" s="7" t="s">
        <v>19</v>
      </c>
      <c r="D49" s="7" t="s">
        <v>158</v>
      </c>
      <c r="E49" s="7" t="s">
        <v>159</v>
      </c>
      <c r="F49" s="7" t="s">
        <v>133</v>
      </c>
      <c r="G49" s="7" t="s">
        <v>13</v>
      </c>
      <c r="H49" s="7" t="s">
        <v>160</v>
      </c>
      <c r="I49" s="7" t="s">
        <v>161</v>
      </c>
      <c r="J49" s="79" t="s">
        <v>167</v>
      </c>
      <c r="K49" s="93" t="s">
        <v>162</v>
      </c>
    </row>
    <row r="50" spans="1:11" hidden="1" x14ac:dyDescent="0.25">
      <c r="A50" s="27">
        <v>45181</v>
      </c>
      <c r="B50" s="11">
        <v>0.875</v>
      </c>
      <c r="C50" s="21" t="s">
        <v>140</v>
      </c>
      <c r="D50" s="1" t="s">
        <v>152</v>
      </c>
      <c r="E50" s="1" t="s">
        <v>141</v>
      </c>
      <c r="F50" s="9" t="s">
        <v>133</v>
      </c>
      <c r="G50" s="1" t="s">
        <v>4</v>
      </c>
      <c r="H50" s="1" t="s">
        <v>142</v>
      </c>
      <c r="I50" s="10" t="s">
        <v>143</v>
      </c>
    </row>
    <row r="51" spans="1:11" hidden="1" x14ac:dyDescent="0.25">
      <c r="J51" s="80"/>
      <c r="K51" s="75"/>
    </row>
    <row r="52" spans="1:11" hidden="1" x14ac:dyDescent="0.25">
      <c r="J52" s="80"/>
      <c r="K52" s="75"/>
    </row>
    <row r="53" spans="1:11" s="8" customFormat="1" ht="3" hidden="1" customHeight="1" x14ac:dyDescent="0.25">
      <c r="A53" s="18">
        <v>45200</v>
      </c>
      <c r="B53" s="17"/>
      <c r="C53" s="17"/>
      <c r="D53" s="17"/>
      <c r="E53" s="17"/>
      <c r="F53" s="17"/>
      <c r="G53" s="17"/>
      <c r="H53" s="17"/>
      <c r="I53" s="17"/>
      <c r="J53" s="78"/>
      <c r="K53" s="75"/>
    </row>
    <row r="54" spans="1:11" s="8" customFormat="1" hidden="1" x14ac:dyDescent="0.25">
      <c r="A54" s="15">
        <v>45204</v>
      </c>
      <c r="B54" s="7"/>
      <c r="C54" s="7" t="s">
        <v>19</v>
      </c>
      <c r="D54" s="7" t="s">
        <v>173</v>
      </c>
      <c r="E54" s="7"/>
      <c r="F54" s="7"/>
      <c r="G54" s="7" t="s">
        <v>4</v>
      </c>
      <c r="H54" s="7"/>
      <c r="I54" s="7"/>
      <c r="J54" s="79"/>
      <c r="K54" s="93"/>
    </row>
    <row r="55" spans="1:11" hidden="1" x14ac:dyDescent="0.25">
      <c r="A55" s="27">
        <v>45224</v>
      </c>
      <c r="B55" s="11">
        <v>0.39583333333333331</v>
      </c>
      <c r="C55" s="21" t="s">
        <v>19</v>
      </c>
      <c r="D55" s="1" t="s">
        <v>171</v>
      </c>
      <c r="E55" s="1" t="s">
        <v>163</v>
      </c>
      <c r="F55" s="9" t="s">
        <v>133</v>
      </c>
      <c r="G55" s="1" t="s">
        <v>114</v>
      </c>
      <c r="H55" s="1" t="s">
        <v>164</v>
      </c>
      <c r="I55" s="10" t="s">
        <v>165</v>
      </c>
      <c r="J55" s="1" t="s">
        <v>166</v>
      </c>
      <c r="K55" s="8" t="s">
        <v>130</v>
      </c>
    </row>
    <row r="56" spans="1:11" hidden="1" x14ac:dyDescent="0.25">
      <c r="A56" s="27"/>
      <c r="B56" s="11"/>
      <c r="J56" s="80"/>
      <c r="K56" s="75"/>
    </row>
    <row r="57" spans="1:11" hidden="1" x14ac:dyDescent="0.25">
      <c r="J57" s="80"/>
      <c r="K57" s="75"/>
    </row>
    <row r="58" spans="1:11" s="8" customFormat="1" hidden="1" x14ac:dyDescent="0.25">
      <c r="A58" s="18">
        <v>45231</v>
      </c>
      <c r="B58" s="17"/>
      <c r="C58" s="17"/>
      <c r="D58" s="17"/>
      <c r="E58" s="17"/>
      <c r="F58" s="17"/>
      <c r="G58" s="17"/>
      <c r="H58" s="17"/>
      <c r="I58" s="17"/>
      <c r="J58" s="78"/>
      <c r="K58" s="75"/>
    </row>
    <row r="59" spans="1:11" s="8" customFormat="1" hidden="1" x14ac:dyDescent="0.25">
      <c r="A59" s="101">
        <v>45231</v>
      </c>
      <c r="B59" s="102" t="s">
        <v>113</v>
      </c>
      <c r="C59" s="102" t="s">
        <v>179</v>
      </c>
      <c r="D59" s="102" t="s">
        <v>180</v>
      </c>
      <c r="E59" s="102" t="s">
        <v>47</v>
      </c>
      <c r="F59" s="102"/>
      <c r="G59" s="102"/>
      <c r="H59" s="102"/>
      <c r="I59" s="7"/>
      <c r="J59" s="79"/>
      <c r="K59" s="75"/>
    </row>
    <row r="60" spans="1:11" hidden="1" x14ac:dyDescent="0.25">
      <c r="A60" s="101">
        <v>45233</v>
      </c>
      <c r="B60" s="102" t="s">
        <v>125</v>
      </c>
      <c r="C60" s="102"/>
      <c r="D60" s="102" t="s">
        <v>97</v>
      </c>
      <c r="E60" s="102" t="s">
        <v>124</v>
      </c>
      <c r="F60" s="102"/>
      <c r="G60" s="102" t="s">
        <v>4</v>
      </c>
      <c r="H60" s="102"/>
      <c r="J60" s="80"/>
      <c r="K60" s="75"/>
    </row>
    <row r="61" spans="1:11" hidden="1" x14ac:dyDescent="0.25">
      <c r="A61" s="101">
        <v>45238</v>
      </c>
      <c r="B61" s="103">
        <v>0.91666666666666663</v>
      </c>
      <c r="C61" s="102"/>
      <c r="D61" s="102" t="s">
        <v>23</v>
      </c>
      <c r="E61" s="102"/>
      <c r="F61" s="102"/>
      <c r="G61" s="102" t="s">
        <v>10</v>
      </c>
      <c r="H61" s="102"/>
      <c r="J61" s="80"/>
      <c r="K61" s="75"/>
    </row>
    <row r="62" spans="1:11" hidden="1" x14ac:dyDescent="0.25">
      <c r="A62" s="101">
        <v>45246</v>
      </c>
      <c r="B62" s="102" t="s">
        <v>113</v>
      </c>
      <c r="C62" s="102" t="s">
        <v>56</v>
      </c>
      <c r="D62" s="102" t="s">
        <v>181</v>
      </c>
      <c r="E62" s="104"/>
      <c r="F62" s="102"/>
      <c r="G62" s="102" t="s">
        <v>4</v>
      </c>
      <c r="H62" s="102"/>
      <c r="I62" s="96"/>
      <c r="J62" s="80"/>
      <c r="K62" s="75"/>
    </row>
    <row r="63" spans="1:11" hidden="1" x14ac:dyDescent="0.25">
      <c r="A63" s="101">
        <v>45249</v>
      </c>
      <c r="B63" s="103">
        <v>0.83333333333333337</v>
      </c>
      <c r="C63" s="102" t="s">
        <v>19</v>
      </c>
      <c r="D63" s="102" t="s">
        <v>175</v>
      </c>
      <c r="E63" s="105" t="s">
        <v>178</v>
      </c>
      <c r="F63" s="102"/>
      <c r="G63" s="102" t="s">
        <v>4</v>
      </c>
      <c r="H63" s="102" t="s">
        <v>37</v>
      </c>
      <c r="I63" s="94"/>
      <c r="J63" s="80"/>
      <c r="K63" s="95">
        <v>5000</v>
      </c>
    </row>
    <row r="64" spans="1:11" s="8" customFormat="1" hidden="1" x14ac:dyDescent="0.25">
      <c r="A64" s="18">
        <v>45261</v>
      </c>
      <c r="B64" s="17"/>
      <c r="C64" s="17"/>
      <c r="D64" s="17"/>
      <c r="E64" s="17"/>
      <c r="F64" s="17"/>
      <c r="G64" s="17"/>
      <c r="H64" s="17"/>
      <c r="I64" s="17"/>
      <c r="J64" s="78"/>
      <c r="K64" s="75"/>
    </row>
    <row r="65" spans="1:11" hidden="1" x14ac:dyDescent="0.25">
      <c r="A65" s="27">
        <v>45272</v>
      </c>
      <c r="B65" s="26">
        <v>0.85416666666666663</v>
      </c>
      <c r="C65" s="88" t="s">
        <v>19</v>
      </c>
      <c r="D65" s="88" t="s">
        <v>182</v>
      </c>
      <c r="E65" s="88" t="s">
        <v>183</v>
      </c>
      <c r="F65" s="88" t="s">
        <v>184</v>
      </c>
      <c r="G65" s="88" t="s">
        <v>13</v>
      </c>
      <c r="H65" s="88" t="s">
        <v>11</v>
      </c>
      <c r="I65" s="88" t="s">
        <v>186</v>
      </c>
      <c r="J65" s="80" t="s">
        <v>187</v>
      </c>
      <c r="K65" s="75" t="s">
        <v>185</v>
      </c>
    </row>
    <row r="66" spans="1:11" hidden="1" x14ac:dyDescent="0.25">
      <c r="A66" s="27">
        <v>45273</v>
      </c>
      <c r="B66" s="11">
        <v>0.875</v>
      </c>
      <c r="D66" s="1" t="s">
        <v>188</v>
      </c>
      <c r="E66" s="1" t="s">
        <v>16</v>
      </c>
      <c r="F66" s="9" t="s">
        <v>190</v>
      </c>
      <c r="G66" s="1" t="s">
        <v>10</v>
      </c>
      <c r="H66" s="1" t="s">
        <v>106</v>
      </c>
      <c r="I66" s="10" t="s">
        <v>186</v>
      </c>
      <c r="J66" s="80" t="s">
        <v>189</v>
      </c>
      <c r="K66" s="75" t="s">
        <v>194</v>
      </c>
    </row>
    <row r="67" spans="1:11" hidden="1" x14ac:dyDescent="0.25">
      <c r="A67" s="92">
        <v>2024</v>
      </c>
      <c r="B67" s="68"/>
      <c r="C67" s="68"/>
      <c r="D67" s="68"/>
      <c r="E67" s="68"/>
      <c r="F67" s="68"/>
      <c r="G67" s="68"/>
      <c r="H67" s="68"/>
      <c r="I67" s="68"/>
      <c r="J67" s="82"/>
      <c r="K67" s="100"/>
    </row>
    <row r="68" spans="1:11" ht="0.75" hidden="1" customHeight="1" x14ac:dyDescent="0.25">
      <c r="A68" s="97">
        <v>45292</v>
      </c>
      <c r="B68" s="68"/>
      <c r="C68" s="68"/>
      <c r="D68" s="68"/>
      <c r="E68" s="68"/>
      <c r="F68" s="68"/>
      <c r="G68" s="68"/>
      <c r="H68" s="68"/>
      <c r="I68" s="68"/>
      <c r="J68" s="82"/>
      <c r="K68" s="100" t="s">
        <v>274</v>
      </c>
    </row>
    <row r="69" spans="1:11" s="8" customFormat="1" hidden="1" x14ac:dyDescent="0.25">
      <c r="A69" s="15">
        <v>45301</v>
      </c>
      <c r="B69" s="7"/>
      <c r="C69" s="7" t="s">
        <v>19</v>
      </c>
      <c r="D69" s="7" t="s">
        <v>199</v>
      </c>
      <c r="E69" s="7" t="s">
        <v>47</v>
      </c>
      <c r="F69" s="7"/>
      <c r="G69" s="7" t="s">
        <v>22</v>
      </c>
      <c r="H69" s="7"/>
      <c r="I69" s="7"/>
      <c r="J69" s="79"/>
      <c r="K69" s="75"/>
    </row>
    <row r="70" spans="1:11" s="8" customFormat="1" hidden="1" x14ac:dyDescent="0.25">
      <c r="A70" s="15">
        <v>45302</v>
      </c>
      <c r="B70" s="26">
        <v>0.875</v>
      </c>
      <c r="C70" s="7" t="s">
        <v>104</v>
      </c>
      <c r="D70" s="7" t="s">
        <v>206</v>
      </c>
      <c r="E70" s="7" t="s">
        <v>207</v>
      </c>
      <c r="F70" s="7" t="s">
        <v>208</v>
      </c>
      <c r="G70" s="7" t="s">
        <v>13</v>
      </c>
      <c r="H70" s="7" t="s">
        <v>11</v>
      </c>
      <c r="I70" s="7" t="s">
        <v>209</v>
      </c>
      <c r="J70" s="79"/>
      <c r="K70" s="75"/>
    </row>
    <row r="71" spans="1:11" s="8" customFormat="1" hidden="1" x14ac:dyDescent="0.25">
      <c r="A71" s="15">
        <v>45311</v>
      </c>
      <c r="B71" s="7"/>
      <c r="C71" s="7" t="s">
        <v>104</v>
      </c>
      <c r="D71" s="7" t="s">
        <v>200</v>
      </c>
      <c r="E71" s="7"/>
      <c r="F71" s="7"/>
      <c r="G71" s="7" t="s">
        <v>13</v>
      </c>
      <c r="H71" s="7"/>
      <c r="I71" s="7"/>
      <c r="J71" s="79"/>
      <c r="K71" s="75"/>
    </row>
    <row r="72" spans="1:11" hidden="1" x14ac:dyDescent="0.25">
      <c r="A72" s="15">
        <v>45312</v>
      </c>
      <c r="C72" s="21" t="s">
        <v>19</v>
      </c>
      <c r="D72" s="1" t="s">
        <v>180</v>
      </c>
      <c r="E72" s="7" t="s">
        <v>47</v>
      </c>
      <c r="F72" s="7"/>
      <c r="G72" s="7" t="s">
        <v>22</v>
      </c>
      <c r="J72" s="80"/>
      <c r="K72" s="75"/>
    </row>
    <row r="73" spans="1:11" hidden="1" x14ac:dyDescent="0.25">
      <c r="A73" s="15">
        <v>45315</v>
      </c>
      <c r="D73" s="1" t="s">
        <v>191</v>
      </c>
      <c r="E73" s="1" t="s">
        <v>193</v>
      </c>
      <c r="J73" s="80" t="s">
        <v>192</v>
      </c>
      <c r="K73" s="75"/>
    </row>
    <row r="74" spans="1:11" hidden="1" x14ac:dyDescent="0.25">
      <c r="A74" s="15">
        <v>45316</v>
      </c>
      <c r="B74" s="106"/>
      <c r="C74" s="106" t="s">
        <v>19</v>
      </c>
      <c r="D74" s="106" t="s">
        <v>202</v>
      </c>
      <c r="E74" s="106" t="s">
        <v>16</v>
      </c>
      <c r="F74" s="106"/>
      <c r="G74" s="106" t="s">
        <v>10</v>
      </c>
      <c r="H74" s="106"/>
      <c r="I74" s="106"/>
      <c r="J74" s="80"/>
      <c r="K74" s="75"/>
    </row>
    <row r="75" spans="1:11" hidden="1" x14ac:dyDescent="0.25">
      <c r="A75" s="98">
        <v>45323</v>
      </c>
      <c r="B75" s="89"/>
      <c r="C75" s="89"/>
      <c r="D75" s="89"/>
      <c r="E75" s="89"/>
      <c r="F75" s="89"/>
      <c r="G75" s="89"/>
      <c r="H75" s="89"/>
      <c r="I75" s="89"/>
      <c r="J75" s="99"/>
      <c r="K75" s="100"/>
    </row>
    <row r="76" spans="1:11" s="8" customFormat="1" hidden="1" x14ac:dyDescent="0.25">
      <c r="A76" s="15">
        <v>45330</v>
      </c>
      <c r="B76" s="26">
        <v>0.875</v>
      </c>
      <c r="C76" s="7" t="s">
        <v>104</v>
      </c>
      <c r="D76" s="7" t="s">
        <v>210</v>
      </c>
      <c r="E76" s="7" t="s">
        <v>211</v>
      </c>
      <c r="F76" s="7" t="s">
        <v>212</v>
      </c>
      <c r="G76" s="7" t="s">
        <v>13</v>
      </c>
      <c r="H76" s="7" t="s">
        <v>11</v>
      </c>
      <c r="I76" s="7" t="s">
        <v>213</v>
      </c>
      <c r="J76" s="79" t="s">
        <v>214</v>
      </c>
      <c r="K76" s="75"/>
    </row>
    <row r="77" spans="1:11" s="8" customFormat="1" hidden="1" x14ac:dyDescent="0.25">
      <c r="A77" s="15">
        <v>45332</v>
      </c>
      <c r="B77" s="26">
        <v>0.86458333333333337</v>
      </c>
      <c r="C77" s="7" t="s">
        <v>104</v>
      </c>
      <c r="D77" s="7" t="s">
        <v>230</v>
      </c>
      <c r="E77" s="7" t="s">
        <v>231</v>
      </c>
      <c r="F77" s="7" t="s">
        <v>212</v>
      </c>
      <c r="G77" s="7" t="s">
        <v>13</v>
      </c>
      <c r="H77" s="7" t="s">
        <v>11</v>
      </c>
      <c r="I77" s="7" t="s">
        <v>165</v>
      </c>
      <c r="J77" s="79" t="s">
        <v>214</v>
      </c>
      <c r="K77" s="75"/>
    </row>
    <row r="78" spans="1:11" s="8" customFormat="1" hidden="1" x14ac:dyDescent="0.25">
      <c r="A78" s="15">
        <v>45342</v>
      </c>
      <c r="B78" s="26"/>
      <c r="C78" s="7"/>
      <c r="D78" s="7" t="s">
        <v>245</v>
      </c>
      <c r="E78" s="7"/>
      <c r="F78" s="7" t="s">
        <v>47</v>
      </c>
      <c r="G78" s="7" t="s">
        <v>22</v>
      </c>
      <c r="H78" s="7"/>
      <c r="I78" s="7"/>
      <c r="J78" s="79"/>
      <c r="K78" s="75"/>
    </row>
    <row r="79" spans="1:11" s="8" customFormat="1" hidden="1" x14ac:dyDescent="0.25">
      <c r="A79" s="15">
        <v>45343</v>
      </c>
      <c r="B79" s="26">
        <v>0.85416666666666663</v>
      </c>
      <c r="C79" s="7" t="s">
        <v>252</v>
      </c>
      <c r="D79" s="7" t="s">
        <v>243</v>
      </c>
      <c r="E79" s="7" t="s">
        <v>244</v>
      </c>
      <c r="F79" s="7" t="s">
        <v>212</v>
      </c>
      <c r="G79" s="7" t="s">
        <v>13</v>
      </c>
      <c r="H79" s="7" t="s">
        <v>11</v>
      </c>
      <c r="I79" s="7" t="s">
        <v>213</v>
      </c>
      <c r="J79" s="79" t="s">
        <v>214</v>
      </c>
      <c r="K79" s="75"/>
    </row>
    <row r="80" spans="1:11" s="8" customFormat="1" hidden="1" x14ac:dyDescent="0.25">
      <c r="A80" s="15">
        <v>45344</v>
      </c>
      <c r="B80" s="26"/>
      <c r="C80" s="7" t="s">
        <v>104</v>
      </c>
      <c r="D80" s="7" t="s">
        <v>219</v>
      </c>
      <c r="E80" s="7" t="s">
        <v>215</v>
      </c>
      <c r="F80" s="31" t="s">
        <v>220</v>
      </c>
      <c r="G80" s="7" t="s">
        <v>4</v>
      </c>
      <c r="H80" s="7"/>
      <c r="I80" s="7"/>
      <c r="J80" s="79"/>
      <c r="K80" s="75"/>
    </row>
    <row r="81" spans="1:11" hidden="1" x14ac:dyDescent="0.25">
      <c r="A81" s="27">
        <v>45350</v>
      </c>
      <c r="B81" s="7"/>
      <c r="C81" s="21" t="s">
        <v>104</v>
      </c>
      <c r="D81" s="1" t="s">
        <v>246</v>
      </c>
      <c r="E81" s="7" t="s">
        <v>47</v>
      </c>
      <c r="F81" s="7" t="s">
        <v>47</v>
      </c>
      <c r="G81" s="7" t="s">
        <v>22</v>
      </c>
      <c r="J81" s="79" t="s">
        <v>214</v>
      </c>
    </row>
    <row r="82" spans="1:11" hidden="1" x14ac:dyDescent="0.25">
      <c r="J82" s="80"/>
      <c r="K82" s="75"/>
    </row>
    <row r="83" spans="1:11" hidden="1" x14ac:dyDescent="0.25">
      <c r="J83" s="80"/>
      <c r="K83" s="75"/>
    </row>
    <row r="84" spans="1:11" hidden="1" x14ac:dyDescent="0.25">
      <c r="A84" s="98">
        <v>45352</v>
      </c>
      <c r="B84" s="89"/>
      <c r="C84" s="89"/>
      <c r="D84" s="89"/>
      <c r="E84" s="89"/>
      <c r="F84" s="89"/>
      <c r="G84" s="89"/>
      <c r="H84" s="89"/>
      <c r="I84" s="89"/>
      <c r="J84" s="99"/>
      <c r="K84" s="100"/>
    </row>
    <row r="85" spans="1:11" s="8" customFormat="1" hidden="1" x14ac:dyDescent="0.25">
      <c r="A85" s="15">
        <v>45353</v>
      </c>
      <c r="B85" s="7"/>
      <c r="C85" s="7" t="s">
        <v>19</v>
      </c>
      <c r="D85" s="7" t="s">
        <v>247</v>
      </c>
      <c r="E85" s="7" t="s">
        <v>248</v>
      </c>
      <c r="F85" s="7"/>
      <c r="G85" s="7" t="s">
        <v>249</v>
      </c>
      <c r="H85" s="7"/>
      <c r="I85" s="7"/>
      <c r="J85" s="79"/>
      <c r="K85" s="75"/>
    </row>
    <row r="86" spans="1:11" hidden="1" x14ac:dyDescent="0.25">
      <c r="A86" s="27">
        <v>45357</v>
      </c>
      <c r="C86" s="21" t="s">
        <v>20</v>
      </c>
      <c r="D86" s="1" t="s">
        <v>203</v>
      </c>
      <c r="G86" s="1" t="s">
        <v>10</v>
      </c>
      <c r="J86" s="80"/>
      <c r="K86" s="75"/>
    </row>
    <row r="87" spans="1:11" hidden="1" x14ac:dyDescent="0.25">
      <c r="A87" s="27">
        <v>45358</v>
      </c>
      <c r="C87" s="21" t="s">
        <v>20</v>
      </c>
      <c r="D87" s="1" t="s">
        <v>203</v>
      </c>
      <c r="G87" s="1" t="s">
        <v>10</v>
      </c>
      <c r="J87" s="80"/>
      <c r="K87" s="75"/>
    </row>
    <row r="88" spans="1:11" hidden="1" x14ac:dyDescent="0.25">
      <c r="A88" s="27">
        <v>45367</v>
      </c>
      <c r="C88" s="21" t="s">
        <v>19</v>
      </c>
      <c r="D88" s="1" t="s">
        <v>204</v>
      </c>
      <c r="F88" s="9" t="s">
        <v>205</v>
      </c>
      <c r="G88" s="1" t="s">
        <v>4</v>
      </c>
      <c r="J88" s="80"/>
      <c r="K88" s="75"/>
    </row>
    <row r="89" spans="1:11" s="8" customFormat="1" hidden="1" x14ac:dyDescent="0.25">
      <c r="A89" s="15">
        <v>45368</v>
      </c>
      <c r="B89" s="7" t="s">
        <v>195</v>
      </c>
      <c r="C89" s="7" t="s">
        <v>82</v>
      </c>
      <c r="D89" s="7" t="s">
        <v>196</v>
      </c>
      <c r="E89" s="75" t="s">
        <v>257</v>
      </c>
      <c r="F89" s="7" t="s">
        <v>258</v>
      </c>
      <c r="G89" s="7" t="s">
        <v>197</v>
      </c>
      <c r="H89" s="7" t="s">
        <v>221</v>
      </c>
      <c r="I89" s="7"/>
      <c r="J89" s="7" t="s">
        <v>198</v>
      </c>
    </row>
    <row r="90" spans="1:11" hidden="1" x14ac:dyDescent="0.25">
      <c r="A90" s="27"/>
      <c r="J90" s="80"/>
      <c r="K90" s="75"/>
    </row>
    <row r="91" spans="1:11" hidden="1" x14ac:dyDescent="0.25">
      <c r="A91" s="98">
        <v>45383</v>
      </c>
      <c r="B91" s="89"/>
      <c r="C91" s="89"/>
      <c r="D91" s="89"/>
      <c r="E91" s="89"/>
      <c r="F91" s="89"/>
      <c r="G91" s="89"/>
      <c r="H91" s="89"/>
      <c r="I91" s="68"/>
      <c r="J91" s="82"/>
      <c r="K91" s="100"/>
    </row>
    <row r="92" spans="1:11" hidden="1" x14ac:dyDescent="0.25">
      <c r="A92" s="27">
        <v>45386</v>
      </c>
      <c r="C92" s="21" t="s">
        <v>19</v>
      </c>
      <c r="D92" s="1" t="s">
        <v>251</v>
      </c>
      <c r="F92" s="9" t="s">
        <v>248</v>
      </c>
      <c r="G92" s="1" t="s">
        <v>249</v>
      </c>
      <c r="H92" s="1" t="s">
        <v>75</v>
      </c>
      <c r="K92" s="75"/>
    </row>
    <row r="93" spans="1:11" hidden="1" x14ac:dyDescent="0.25">
      <c r="K93" s="75"/>
    </row>
    <row r="94" spans="1:11" ht="0.75" hidden="1" customHeight="1" x14ac:dyDescent="0.25">
      <c r="A94" s="98">
        <v>45413</v>
      </c>
      <c r="B94" s="89"/>
      <c r="C94" s="89"/>
      <c r="D94" s="89"/>
      <c r="E94" s="89"/>
      <c r="F94" s="89"/>
      <c r="G94" s="89"/>
      <c r="H94" s="89"/>
      <c r="I94" s="68"/>
      <c r="J94" s="68"/>
      <c r="K94" s="100"/>
    </row>
    <row r="95" spans="1:11" s="8" customFormat="1" hidden="1" x14ac:dyDescent="0.25">
      <c r="A95" s="15">
        <v>45420</v>
      </c>
      <c r="B95" s="7"/>
      <c r="C95" s="7" t="s">
        <v>19</v>
      </c>
      <c r="D95" s="7" t="s">
        <v>296</v>
      </c>
      <c r="E95" s="7" t="s">
        <v>303</v>
      </c>
      <c r="F95" s="7" t="s">
        <v>275</v>
      </c>
      <c r="G95" s="7" t="s">
        <v>21</v>
      </c>
      <c r="H95" s="7" t="s">
        <v>106</v>
      </c>
      <c r="I95" s="7" t="s">
        <v>128</v>
      </c>
      <c r="J95" s="7" t="s">
        <v>304</v>
      </c>
      <c r="K95" s="75" t="s">
        <v>264</v>
      </c>
    </row>
    <row r="96" spans="1:11" s="117" customFormat="1" hidden="1" x14ac:dyDescent="0.25">
      <c r="A96" s="15">
        <v>45424</v>
      </c>
      <c r="B96" s="115"/>
      <c r="C96" s="115" t="s">
        <v>19</v>
      </c>
      <c r="D96" s="115" t="s">
        <v>277</v>
      </c>
      <c r="E96" s="115" t="s">
        <v>276</v>
      </c>
      <c r="F96" s="115" t="s">
        <v>275</v>
      </c>
      <c r="G96" s="115" t="s">
        <v>4</v>
      </c>
      <c r="H96" s="115" t="s">
        <v>273</v>
      </c>
      <c r="I96" s="115"/>
      <c r="J96" s="115"/>
      <c r="K96" s="116"/>
    </row>
    <row r="97" spans="1:12" s="117" customFormat="1" hidden="1" x14ac:dyDescent="0.25">
      <c r="A97" s="15">
        <v>45435</v>
      </c>
      <c r="B97" s="26">
        <v>0.875</v>
      </c>
      <c r="C97" s="115" t="s">
        <v>19</v>
      </c>
      <c r="D97" s="115" t="s">
        <v>291</v>
      </c>
      <c r="E97" s="115" t="s">
        <v>135</v>
      </c>
      <c r="F97" s="115" t="s">
        <v>275</v>
      </c>
      <c r="G97" s="115" t="s">
        <v>114</v>
      </c>
      <c r="H97" s="115" t="s">
        <v>11</v>
      </c>
      <c r="I97" s="115" t="s">
        <v>149</v>
      </c>
      <c r="J97" s="115" t="s">
        <v>292</v>
      </c>
      <c r="K97" s="116"/>
    </row>
    <row r="98" spans="1:12" hidden="1" x14ac:dyDescent="0.25">
      <c r="A98" s="27">
        <v>45441</v>
      </c>
      <c r="C98" s="21" t="s">
        <v>19</v>
      </c>
      <c r="D98" s="114" t="s">
        <v>204</v>
      </c>
      <c r="E98" s="114" t="s">
        <v>205</v>
      </c>
      <c r="G98" s="1" t="s">
        <v>4</v>
      </c>
      <c r="K98" s="75"/>
    </row>
    <row r="99" spans="1:12" hidden="1" x14ac:dyDescent="0.25">
      <c r="K99" s="75"/>
    </row>
    <row r="100" spans="1:12" hidden="1" x14ac:dyDescent="0.25">
      <c r="K100" s="75"/>
    </row>
    <row r="101" spans="1:12" hidden="1" x14ac:dyDescent="0.25">
      <c r="A101" s="98">
        <v>45444</v>
      </c>
      <c r="B101" s="89"/>
      <c r="C101" s="89"/>
      <c r="D101" s="89"/>
      <c r="E101" s="89"/>
      <c r="F101" s="89"/>
      <c r="G101" s="89"/>
      <c r="H101" s="89"/>
      <c r="I101" s="68"/>
      <c r="J101" s="68"/>
      <c r="K101" s="100"/>
    </row>
    <row r="102" spans="1:12" s="8" customFormat="1" hidden="1" x14ac:dyDescent="0.25">
      <c r="A102" s="15">
        <v>45446</v>
      </c>
      <c r="B102" s="26">
        <v>0.85416666666666663</v>
      </c>
      <c r="C102" s="7" t="s">
        <v>19</v>
      </c>
      <c r="D102" s="7" t="s">
        <v>293</v>
      </c>
      <c r="E102" s="7" t="s">
        <v>287</v>
      </c>
      <c r="F102" s="7" t="s">
        <v>268</v>
      </c>
      <c r="G102" s="7" t="s">
        <v>21</v>
      </c>
      <c r="H102" s="7" t="s">
        <v>288</v>
      </c>
      <c r="I102" s="7" t="s">
        <v>289</v>
      </c>
      <c r="J102" s="7" t="s">
        <v>290</v>
      </c>
      <c r="K102" s="75"/>
    </row>
    <row r="103" spans="1:12" s="8" customFormat="1" hidden="1" x14ac:dyDescent="0.25">
      <c r="A103" s="15">
        <v>45460</v>
      </c>
      <c r="B103" s="26">
        <v>0.85416666666666663</v>
      </c>
      <c r="C103" s="7" t="s">
        <v>316</v>
      </c>
      <c r="D103" s="7" t="s">
        <v>315</v>
      </c>
      <c r="E103" s="7" t="s">
        <v>318</v>
      </c>
      <c r="F103" s="7" t="s">
        <v>268</v>
      </c>
      <c r="G103" s="7" t="s">
        <v>21</v>
      </c>
      <c r="H103" s="7" t="s">
        <v>11</v>
      </c>
      <c r="I103" s="7"/>
      <c r="J103" s="7"/>
      <c r="K103" s="75"/>
    </row>
    <row r="104" spans="1:12" s="8" customFormat="1" hidden="1" x14ac:dyDescent="0.25">
      <c r="A104" s="15">
        <v>45461</v>
      </c>
      <c r="B104" s="26">
        <v>0.89583333333333337</v>
      </c>
      <c r="C104" s="7" t="s">
        <v>19</v>
      </c>
      <c r="D104" s="7" t="s">
        <v>294</v>
      </c>
      <c r="E104" s="7" t="s">
        <v>47</v>
      </c>
      <c r="F104" s="7" t="s">
        <v>268</v>
      </c>
      <c r="G104" s="7" t="s">
        <v>22</v>
      </c>
      <c r="H104" s="7" t="s">
        <v>11</v>
      </c>
      <c r="I104" s="7" t="s">
        <v>295</v>
      </c>
      <c r="J104" s="7"/>
      <c r="K104" s="75"/>
    </row>
    <row r="105" spans="1:12" hidden="1" x14ac:dyDescent="0.25">
      <c r="A105" s="27">
        <v>45462</v>
      </c>
      <c r="B105" s="11">
        <v>0.91666666666666663</v>
      </c>
      <c r="C105" s="21" t="s">
        <v>20</v>
      </c>
      <c r="D105" s="1" t="s">
        <v>23</v>
      </c>
      <c r="G105" s="1" t="s">
        <v>10</v>
      </c>
      <c r="H105" s="1" t="s">
        <v>75</v>
      </c>
      <c r="K105" s="75"/>
    </row>
    <row r="106" spans="1:12" hidden="1" x14ac:dyDescent="0.25">
      <c r="A106" s="27">
        <v>45468</v>
      </c>
      <c r="B106" s="119" t="s">
        <v>195</v>
      </c>
      <c r="C106" s="119" t="s">
        <v>140</v>
      </c>
      <c r="D106" s="119" t="s">
        <v>309</v>
      </c>
      <c r="E106" s="119" t="s">
        <v>265</v>
      </c>
      <c r="F106" s="119" t="s">
        <v>268</v>
      </c>
      <c r="G106" s="119" t="s">
        <v>4</v>
      </c>
      <c r="H106" s="119" t="s">
        <v>266</v>
      </c>
      <c r="I106" s="119"/>
      <c r="J106" s="119" t="s">
        <v>267</v>
      </c>
      <c r="K106" s="75"/>
    </row>
    <row r="107" spans="1:12" hidden="1" x14ac:dyDescent="0.25">
      <c r="A107" s="27">
        <v>45469</v>
      </c>
      <c r="B107" s="128"/>
      <c r="C107" s="128" t="s">
        <v>140</v>
      </c>
      <c r="D107" s="128" t="s">
        <v>332</v>
      </c>
      <c r="E107" s="128" t="s">
        <v>335</v>
      </c>
      <c r="F107" s="128" t="s">
        <v>268</v>
      </c>
      <c r="G107" s="128" t="s">
        <v>21</v>
      </c>
      <c r="H107" s="128" t="s">
        <v>333</v>
      </c>
      <c r="I107" s="128"/>
      <c r="J107" s="128" t="s">
        <v>343</v>
      </c>
      <c r="K107" s="75"/>
    </row>
    <row r="108" spans="1:12" hidden="1" x14ac:dyDescent="0.25">
      <c r="A108" s="27">
        <v>45470</v>
      </c>
      <c r="B108" s="1" t="s">
        <v>308</v>
      </c>
      <c r="C108" s="21" t="s">
        <v>19</v>
      </c>
      <c r="D108" s="1" t="s">
        <v>281</v>
      </c>
      <c r="E108" s="1" t="s">
        <v>305</v>
      </c>
      <c r="F108" s="9" t="s">
        <v>268</v>
      </c>
      <c r="G108" s="1" t="s">
        <v>4</v>
      </c>
      <c r="I108" s="10">
        <v>60000</v>
      </c>
      <c r="J108" s="1" t="s">
        <v>223</v>
      </c>
      <c r="K108" s="75" t="s">
        <v>306</v>
      </c>
      <c r="L108" s="8" t="s">
        <v>307</v>
      </c>
    </row>
    <row r="109" spans="1:12" hidden="1" x14ac:dyDescent="0.25">
      <c r="A109" s="98">
        <v>45474</v>
      </c>
      <c r="B109" s="89"/>
      <c r="C109" s="89"/>
      <c r="D109" s="89"/>
      <c r="E109" s="89"/>
      <c r="F109" s="89"/>
      <c r="G109" s="89"/>
      <c r="H109" s="89"/>
      <c r="I109" s="68"/>
      <c r="J109" s="68"/>
      <c r="K109" s="100"/>
    </row>
    <row r="110" spans="1:12" s="8" customFormat="1" hidden="1" x14ac:dyDescent="0.25">
      <c r="A110" s="15">
        <v>45481</v>
      </c>
      <c r="B110" s="26">
        <v>0.5</v>
      </c>
      <c r="C110" s="7" t="s">
        <v>19</v>
      </c>
      <c r="D110" s="7" t="s">
        <v>328</v>
      </c>
      <c r="E110" s="7" t="s">
        <v>329</v>
      </c>
      <c r="F110" s="7" t="s">
        <v>268</v>
      </c>
      <c r="G110" s="7" t="s">
        <v>114</v>
      </c>
      <c r="H110" s="7" t="s">
        <v>142</v>
      </c>
      <c r="I110" s="7" t="s">
        <v>121</v>
      </c>
      <c r="J110" s="7" t="s">
        <v>330</v>
      </c>
      <c r="K110" s="75" t="s">
        <v>331</v>
      </c>
    </row>
    <row r="111" spans="1:12" hidden="1" x14ac:dyDescent="0.25">
      <c r="A111" s="118" t="s">
        <v>255</v>
      </c>
      <c r="B111" s="89"/>
      <c r="C111" s="89"/>
      <c r="D111" s="89"/>
      <c r="E111" s="89"/>
      <c r="F111" s="89"/>
      <c r="G111" s="89"/>
      <c r="H111" s="89"/>
      <c r="I111" s="89"/>
      <c r="J111" s="89"/>
      <c r="K111" s="100"/>
    </row>
    <row r="112" spans="1:12" hidden="1" x14ac:dyDescent="0.25">
      <c r="A112" s="144">
        <v>45525</v>
      </c>
      <c r="B112" s="146" t="s">
        <v>379</v>
      </c>
      <c r="C112" s="145" t="s">
        <v>256</v>
      </c>
      <c r="D112" s="145" t="s">
        <v>271</v>
      </c>
      <c r="E112" s="145" t="s">
        <v>193</v>
      </c>
      <c r="F112" s="9" t="s">
        <v>336</v>
      </c>
      <c r="G112" s="1" t="s">
        <v>4</v>
      </c>
      <c r="K112" s="75"/>
    </row>
    <row r="113" spans="1:11" hidden="1" x14ac:dyDescent="0.25">
      <c r="A113" s="27"/>
      <c r="B113" s="7"/>
      <c r="C113" s="123"/>
      <c r="D113" s="123"/>
      <c r="E113" s="123"/>
      <c r="F113" s="123"/>
      <c r="G113" s="123"/>
      <c r="H113" s="123"/>
      <c r="I113" s="123"/>
      <c r="J113" s="123"/>
      <c r="K113" s="75"/>
    </row>
    <row r="114" spans="1:11" hidden="1" x14ac:dyDescent="0.25">
      <c r="A114" s="27"/>
      <c r="B114" s="7"/>
      <c r="C114" s="123"/>
      <c r="D114" s="123"/>
      <c r="E114" s="123"/>
      <c r="F114" s="123"/>
      <c r="G114" s="123"/>
      <c r="H114" s="123"/>
      <c r="I114" s="123"/>
      <c r="J114" s="123"/>
      <c r="K114" s="75"/>
    </row>
    <row r="115" spans="1:11" ht="1.5" hidden="1" customHeight="1" x14ac:dyDescent="0.25">
      <c r="A115" s="98">
        <v>45536</v>
      </c>
      <c r="B115" s="89"/>
      <c r="C115" s="89"/>
      <c r="D115" s="89"/>
      <c r="E115" s="89"/>
      <c r="F115" s="89"/>
      <c r="G115" s="89"/>
      <c r="H115" s="89"/>
      <c r="I115" s="89"/>
      <c r="J115" s="89"/>
      <c r="K115" s="100"/>
    </row>
    <row r="116" spans="1:11" hidden="1" x14ac:dyDescent="0.25">
      <c r="A116" s="27">
        <v>45545</v>
      </c>
      <c r="D116" s="1" t="s">
        <v>321</v>
      </c>
      <c r="G116" s="1" t="s">
        <v>10</v>
      </c>
      <c r="K116" s="75"/>
    </row>
    <row r="117" spans="1:11" hidden="1" x14ac:dyDescent="0.25">
      <c r="A117" s="27">
        <v>45546</v>
      </c>
      <c r="B117" s="123"/>
      <c r="C117" s="123"/>
      <c r="D117" s="123" t="s">
        <v>383</v>
      </c>
      <c r="E117" s="123"/>
      <c r="F117" s="123"/>
      <c r="G117" s="123" t="s">
        <v>10</v>
      </c>
      <c r="H117" s="123"/>
      <c r="I117" s="123"/>
      <c r="J117" s="123"/>
      <c r="K117" s="75"/>
    </row>
    <row r="118" spans="1:11" s="8" customFormat="1" hidden="1" x14ac:dyDescent="0.25">
      <c r="A118" s="15">
        <v>45550</v>
      </c>
      <c r="B118" s="7"/>
      <c r="C118" s="12" t="s">
        <v>322</v>
      </c>
      <c r="D118" s="7" t="s">
        <v>323</v>
      </c>
      <c r="E118" s="7"/>
      <c r="F118" s="7"/>
      <c r="G118" s="7" t="s">
        <v>4</v>
      </c>
      <c r="H118" s="7"/>
      <c r="I118" s="7"/>
      <c r="J118" s="7"/>
      <c r="K118" s="75"/>
    </row>
    <row r="119" spans="1:11" s="8" customFormat="1" hidden="1" x14ac:dyDescent="0.25">
      <c r="A119" s="15">
        <v>45553</v>
      </c>
      <c r="B119" s="26">
        <v>0.875</v>
      </c>
      <c r="C119" s="7" t="s">
        <v>19</v>
      </c>
      <c r="D119" s="7" t="s">
        <v>354</v>
      </c>
      <c r="E119" s="7"/>
      <c r="F119" s="7"/>
      <c r="G119" s="7" t="s">
        <v>4</v>
      </c>
      <c r="H119" s="7"/>
      <c r="I119" s="7"/>
      <c r="J119" s="7"/>
      <c r="K119" s="75"/>
    </row>
    <row r="120" spans="1:11" s="8" customFormat="1" hidden="1" x14ac:dyDescent="0.25">
      <c r="A120" s="15">
        <v>45554</v>
      </c>
      <c r="B120" s="26">
        <v>0.91666666666666663</v>
      </c>
      <c r="C120" s="7" t="s">
        <v>19</v>
      </c>
      <c r="D120" s="7" t="s">
        <v>337</v>
      </c>
      <c r="E120" s="7" t="s">
        <v>16</v>
      </c>
      <c r="F120" s="7"/>
      <c r="G120" s="7" t="s">
        <v>10</v>
      </c>
      <c r="H120" s="7" t="s">
        <v>344</v>
      </c>
      <c r="I120" s="7"/>
      <c r="J120" s="7"/>
      <c r="K120" s="75"/>
    </row>
    <row r="121" spans="1:11" s="8" customFormat="1" hidden="1" x14ac:dyDescent="0.25">
      <c r="A121" s="15">
        <v>45557</v>
      </c>
      <c r="B121" s="26"/>
      <c r="C121" s="7" t="s">
        <v>19</v>
      </c>
      <c r="D121" s="7" t="s">
        <v>400</v>
      </c>
      <c r="E121" s="152" t="s">
        <v>401</v>
      </c>
      <c r="F121" s="7" t="s">
        <v>133</v>
      </c>
      <c r="G121" s="7" t="s">
        <v>4</v>
      </c>
      <c r="H121" s="7"/>
      <c r="I121" s="7" t="s">
        <v>186</v>
      </c>
      <c r="J121" s="7" t="s">
        <v>402</v>
      </c>
      <c r="K121" s="75" t="s">
        <v>403</v>
      </c>
    </row>
    <row r="122" spans="1:11" s="8" customFormat="1" hidden="1" x14ac:dyDescent="0.25">
      <c r="A122" s="154">
        <v>45561</v>
      </c>
      <c r="B122" s="162" t="s">
        <v>418</v>
      </c>
      <c r="C122" s="155" t="s">
        <v>20</v>
      </c>
      <c r="D122" s="155" t="s">
        <v>398</v>
      </c>
      <c r="E122" s="156" t="s">
        <v>399</v>
      </c>
      <c r="F122" s="155" t="s">
        <v>154</v>
      </c>
      <c r="G122" s="155" t="s">
        <v>4</v>
      </c>
      <c r="H122" s="7"/>
      <c r="I122" s="7"/>
      <c r="J122" s="7"/>
      <c r="K122" s="75"/>
    </row>
    <row r="123" spans="1:11" s="8" customFormat="1" hidden="1" x14ac:dyDescent="0.25">
      <c r="A123" s="15">
        <v>45562</v>
      </c>
      <c r="B123" s="26" t="s">
        <v>125</v>
      </c>
      <c r="C123" s="7" t="s">
        <v>19</v>
      </c>
      <c r="D123" s="7" t="s">
        <v>396</v>
      </c>
      <c r="E123" s="7"/>
      <c r="F123" s="7"/>
      <c r="G123" s="7" t="s">
        <v>4</v>
      </c>
      <c r="H123" s="7"/>
      <c r="I123" s="7"/>
      <c r="J123" s="7"/>
      <c r="K123" s="75"/>
    </row>
    <row r="124" spans="1:11" ht="0.75" hidden="1" customHeight="1" x14ac:dyDescent="0.25">
      <c r="A124" s="98">
        <v>45566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100"/>
    </row>
    <row r="125" spans="1:11" hidden="1" x14ac:dyDescent="0.25">
      <c r="A125" s="144">
        <v>45586</v>
      </c>
      <c r="B125" s="159" t="s">
        <v>410</v>
      </c>
      <c r="C125" s="145" t="s">
        <v>140</v>
      </c>
      <c r="D125" s="145" t="s">
        <v>375</v>
      </c>
      <c r="E125" s="145"/>
      <c r="F125" s="138" t="s">
        <v>268</v>
      </c>
      <c r="G125" s="138" t="s">
        <v>4</v>
      </c>
      <c r="H125" s="138" t="s">
        <v>376</v>
      </c>
      <c r="I125" s="138" t="s">
        <v>377</v>
      </c>
      <c r="J125" s="138" t="s">
        <v>378</v>
      </c>
      <c r="K125" s="75" t="s">
        <v>306</v>
      </c>
    </row>
    <row r="126" spans="1:11" hidden="1" x14ac:dyDescent="0.25">
      <c r="A126" s="27">
        <v>45595</v>
      </c>
      <c r="B126" s="26">
        <v>0.875</v>
      </c>
      <c r="D126" s="1" t="s">
        <v>380</v>
      </c>
      <c r="E126" s="1" t="s">
        <v>373</v>
      </c>
      <c r="G126" s="1" t="s">
        <v>4</v>
      </c>
      <c r="H126" s="1" t="s">
        <v>374</v>
      </c>
      <c r="I126" s="10">
        <v>270</v>
      </c>
      <c r="J126" s="137" t="s">
        <v>374</v>
      </c>
      <c r="K126" s="75"/>
    </row>
    <row r="127" spans="1:11" hidden="1" x14ac:dyDescent="0.25">
      <c r="A127" s="15">
        <v>45596</v>
      </c>
      <c r="B127" s="129" t="s">
        <v>419</v>
      </c>
      <c r="C127" s="121" t="s">
        <v>19</v>
      </c>
      <c r="D127" s="7" t="s">
        <v>334</v>
      </c>
      <c r="E127" s="122" t="s">
        <v>297</v>
      </c>
      <c r="F127" s="121" t="s">
        <v>268</v>
      </c>
      <c r="G127" s="121" t="s">
        <v>22</v>
      </c>
      <c r="H127" s="121" t="s">
        <v>11</v>
      </c>
      <c r="I127" s="121" t="s">
        <v>282</v>
      </c>
      <c r="J127" s="121"/>
      <c r="K127" s="75"/>
    </row>
    <row r="128" spans="1:11" s="8" customFormat="1" hidden="1" x14ac:dyDescent="0.25">
      <c r="A128" s="15"/>
      <c r="B128" s="130"/>
      <c r="C128" s="7"/>
      <c r="D128" s="7"/>
      <c r="E128" s="7"/>
      <c r="F128" s="7"/>
      <c r="G128" s="7"/>
      <c r="H128" s="7"/>
      <c r="I128" s="7"/>
      <c r="J128" s="7"/>
      <c r="K128" s="75"/>
    </row>
    <row r="129" spans="1:12" s="8" customFormat="1" hidden="1" x14ac:dyDescent="0.25">
      <c r="A129" s="98">
        <v>45597</v>
      </c>
      <c r="B129" s="131"/>
      <c r="C129" s="89"/>
      <c r="D129" s="89"/>
      <c r="E129" s="89"/>
      <c r="F129" s="89"/>
      <c r="G129" s="89"/>
      <c r="H129" s="89"/>
      <c r="I129" s="89"/>
      <c r="J129" s="89"/>
      <c r="K129" s="100"/>
    </row>
    <row r="130" spans="1:12" s="126" customFormat="1" hidden="1" x14ac:dyDescent="0.25">
      <c r="A130" s="15">
        <v>45597</v>
      </c>
      <c r="B130" s="26">
        <v>0.16666666666666666</v>
      </c>
      <c r="C130" s="115" t="s">
        <v>56</v>
      </c>
      <c r="D130" s="115"/>
      <c r="E130" s="115"/>
      <c r="F130" s="115"/>
      <c r="G130" s="115" t="s">
        <v>414</v>
      </c>
      <c r="H130" s="115"/>
      <c r="I130" s="115"/>
      <c r="J130" s="115"/>
      <c r="K130" s="139"/>
    </row>
    <row r="131" spans="1:12" s="126" customFormat="1" hidden="1" x14ac:dyDescent="0.25">
      <c r="A131" s="15">
        <v>45606</v>
      </c>
      <c r="B131" s="26"/>
      <c r="C131" s="115" t="s">
        <v>140</v>
      </c>
      <c r="D131" s="115" t="s">
        <v>415</v>
      </c>
      <c r="E131" s="115" t="s">
        <v>416</v>
      </c>
      <c r="F131" s="115"/>
      <c r="G131" s="115" t="s">
        <v>4</v>
      </c>
      <c r="H131" s="115"/>
      <c r="I131" s="115"/>
      <c r="J131" s="115"/>
      <c r="K131" s="139"/>
    </row>
    <row r="132" spans="1:12" s="8" customFormat="1" hidden="1" x14ac:dyDescent="0.25">
      <c r="A132" s="15">
        <v>45612</v>
      </c>
      <c r="B132" s="26">
        <v>0.875</v>
      </c>
      <c r="C132" s="7" t="s">
        <v>19</v>
      </c>
      <c r="D132" s="7" t="s">
        <v>338</v>
      </c>
      <c r="E132" s="7" t="s">
        <v>339</v>
      </c>
      <c r="F132" s="7" t="s">
        <v>268</v>
      </c>
      <c r="G132" s="7" t="s">
        <v>21</v>
      </c>
      <c r="H132" s="7" t="s">
        <v>345</v>
      </c>
      <c r="I132" s="7"/>
      <c r="J132" s="7" t="s">
        <v>340</v>
      </c>
      <c r="K132" s="75" t="s">
        <v>341</v>
      </c>
      <c r="L132" s="8" t="s">
        <v>342</v>
      </c>
    </row>
    <row r="133" spans="1:12" s="8" customFormat="1" hidden="1" x14ac:dyDescent="0.25">
      <c r="A133" s="15">
        <v>45617</v>
      </c>
      <c r="B133" s="26"/>
      <c r="C133" s="7"/>
      <c r="D133" s="7" t="s">
        <v>23</v>
      </c>
      <c r="E133" s="7"/>
      <c r="F133" s="7"/>
      <c r="G133" s="7" t="s">
        <v>10</v>
      </c>
      <c r="H133" s="7"/>
      <c r="I133" s="7"/>
      <c r="J133" s="7"/>
      <c r="K133" s="75"/>
    </row>
    <row r="134" spans="1:12" s="8" customFormat="1" hidden="1" x14ac:dyDescent="0.25">
      <c r="A134" s="98">
        <v>45627</v>
      </c>
      <c r="B134" s="131"/>
      <c r="C134" s="89"/>
      <c r="D134" s="89"/>
      <c r="E134" s="89"/>
      <c r="F134" s="89"/>
      <c r="G134" s="89"/>
      <c r="H134" s="89"/>
      <c r="I134" s="89"/>
      <c r="J134" s="89"/>
      <c r="K134" s="100"/>
    </row>
    <row r="135" spans="1:12" s="126" customFormat="1" hidden="1" x14ac:dyDescent="0.25">
      <c r="A135" s="15">
        <v>45628</v>
      </c>
      <c r="B135" s="26">
        <v>0.91666666666666663</v>
      </c>
      <c r="C135" s="115" t="s">
        <v>20</v>
      </c>
      <c r="D135" s="115" t="s">
        <v>429</v>
      </c>
      <c r="E135" s="115" t="s">
        <v>430</v>
      </c>
      <c r="F135" s="115" t="s">
        <v>268</v>
      </c>
      <c r="G135" s="115" t="s">
        <v>21</v>
      </c>
      <c r="H135" s="115" t="s">
        <v>431</v>
      </c>
      <c r="I135" s="115">
        <v>1000</v>
      </c>
      <c r="J135" s="115"/>
      <c r="K135" s="139" t="s">
        <v>286</v>
      </c>
    </row>
    <row r="136" spans="1:12" s="166" customFormat="1" hidden="1" x14ac:dyDescent="0.25">
      <c r="A136" s="141">
        <v>45630</v>
      </c>
      <c r="B136" s="164"/>
      <c r="C136" s="143" t="s">
        <v>140</v>
      </c>
      <c r="D136" s="143" t="s">
        <v>389</v>
      </c>
      <c r="E136" s="143"/>
      <c r="F136" s="143" t="s">
        <v>268</v>
      </c>
      <c r="G136" s="143" t="s">
        <v>4</v>
      </c>
      <c r="H136" s="143" t="s">
        <v>37</v>
      </c>
      <c r="I136" s="143"/>
      <c r="J136" s="143" t="s">
        <v>390</v>
      </c>
      <c r="K136" s="165"/>
    </row>
    <row r="137" spans="1:12" s="8" customFormat="1" hidden="1" x14ac:dyDescent="0.25">
      <c r="A137" s="15">
        <v>45633</v>
      </c>
      <c r="B137" s="130"/>
      <c r="C137" s="7" t="s">
        <v>322</v>
      </c>
      <c r="D137" s="7" t="s">
        <v>438</v>
      </c>
      <c r="E137" s="7"/>
      <c r="F137" s="7"/>
      <c r="G137" s="7" t="s">
        <v>4</v>
      </c>
      <c r="H137" s="7"/>
      <c r="I137" s="7"/>
      <c r="J137" s="7"/>
      <c r="K137" s="75"/>
    </row>
    <row r="138" spans="1:12" hidden="1" x14ac:dyDescent="0.25">
      <c r="A138" s="27">
        <v>45638</v>
      </c>
      <c r="C138" s="21" t="s">
        <v>19</v>
      </c>
      <c r="D138" s="1" t="s">
        <v>367</v>
      </c>
      <c r="E138" s="1" t="s">
        <v>368</v>
      </c>
      <c r="F138" s="9" t="s">
        <v>268</v>
      </c>
      <c r="G138" s="1" t="s">
        <v>369</v>
      </c>
      <c r="H138" s="1" t="s">
        <v>370</v>
      </c>
      <c r="I138" s="10" t="s">
        <v>213</v>
      </c>
      <c r="J138" s="1" t="s">
        <v>371</v>
      </c>
      <c r="K138" s="75" t="s">
        <v>372</v>
      </c>
    </row>
    <row r="139" spans="1:12" hidden="1" x14ac:dyDescent="0.25">
      <c r="A139" s="27">
        <v>45645</v>
      </c>
      <c r="B139" s="11">
        <v>0.91666666666666663</v>
      </c>
      <c r="C139" s="150" t="s">
        <v>19</v>
      </c>
      <c r="D139" s="150" t="s">
        <v>426</v>
      </c>
      <c r="E139" s="163" t="s">
        <v>427</v>
      </c>
      <c r="F139" s="150" t="s">
        <v>268</v>
      </c>
      <c r="G139" s="150" t="s">
        <v>4</v>
      </c>
      <c r="H139" s="150" t="s">
        <v>119</v>
      </c>
      <c r="I139" s="150"/>
      <c r="J139" s="150" t="s">
        <v>428</v>
      </c>
      <c r="K139" s="75" t="s">
        <v>306</v>
      </c>
    </row>
    <row r="140" spans="1:12" hidden="1" x14ac:dyDescent="0.25">
      <c r="A140" s="160">
        <v>2025</v>
      </c>
      <c r="B140" s="161"/>
      <c r="C140" s="161"/>
      <c r="D140" s="161"/>
      <c r="E140" s="161"/>
      <c r="F140" s="161"/>
      <c r="G140" s="161"/>
      <c r="H140" s="161"/>
      <c r="I140" s="161"/>
      <c r="J140" s="161"/>
      <c r="K140" s="169"/>
    </row>
    <row r="141" spans="1:12" hidden="1" x14ac:dyDescent="0.25">
      <c r="A141" s="61">
        <v>45658</v>
      </c>
      <c r="B141" s="39"/>
      <c r="C141" s="39"/>
      <c r="D141" s="39"/>
      <c r="E141" s="39"/>
      <c r="F141" s="39"/>
      <c r="G141" s="39"/>
      <c r="H141" s="39"/>
      <c r="I141" s="39"/>
      <c r="J141" s="39"/>
      <c r="K141" s="127"/>
    </row>
    <row r="142" spans="1:12" s="126" customFormat="1" hidden="1" x14ac:dyDescent="0.25">
      <c r="A142" s="15">
        <v>45661</v>
      </c>
      <c r="B142" s="172"/>
      <c r="C142" s="115" t="s">
        <v>19</v>
      </c>
      <c r="D142" s="115" t="s">
        <v>444</v>
      </c>
      <c r="E142" s="115" t="s">
        <v>445</v>
      </c>
      <c r="F142" s="115" t="s">
        <v>446</v>
      </c>
      <c r="G142" s="115" t="s">
        <v>369</v>
      </c>
      <c r="H142" s="115" t="s">
        <v>370</v>
      </c>
      <c r="I142" s="115" t="s">
        <v>443</v>
      </c>
      <c r="J142" s="115"/>
      <c r="K142" s="139" t="s">
        <v>264</v>
      </c>
    </row>
    <row r="143" spans="1:12" s="8" customFormat="1" hidden="1" x14ac:dyDescent="0.25">
      <c r="A143" s="15">
        <v>45673</v>
      </c>
      <c r="B143" s="167" t="s">
        <v>433</v>
      </c>
      <c r="C143" s="7" t="s">
        <v>140</v>
      </c>
      <c r="D143" s="7" t="s">
        <v>432</v>
      </c>
      <c r="E143" s="7"/>
      <c r="F143" s="7"/>
      <c r="G143" s="7" t="s">
        <v>4</v>
      </c>
      <c r="H143" s="7"/>
      <c r="I143" s="7"/>
      <c r="J143" s="7"/>
      <c r="K143" s="75"/>
    </row>
    <row r="144" spans="1:12" s="8" customFormat="1" hidden="1" x14ac:dyDescent="0.25">
      <c r="A144" s="15">
        <v>45674</v>
      </c>
      <c r="B144" s="167"/>
      <c r="C144" s="7" t="s">
        <v>140</v>
      </c>
      <c r="D144" s="7" t="s">
        <v>440</v>
      </c>
      <c r="E144" s="7"/>
      <c r="F144" s="7"/>
      <c r="G144" s="7" t="s">
        <v>4</v>
      </c>
      <c r="H144" s="7"/>
      <c r="I144" s="7"/>
      <c r="J144" s="7"/>
      <c r="K144" s="75"/>
    </row>
    <row r="145" spans="1:12" hidden="1" x14ac:dyDescent="0.25">
      <c r="A145" s="27">
        <v>45682</v>
      </c>
      <c r="B145" s="11">
        <v>0.875</v>
      </c>
      <c r="C145" s="21" t="s">
        <v>104</v>
      </c>
      <c r="D145" s="1" t="s">
        <v>324</v>
      </c>
      <c r="E145" s="171" t="s">
        <v>348</v>
      </c>
      <c r="F145" s="9" t="s">
        <v>423</v>
      </c>
      <c r="G145" s="1" t="s">
        <v>4</v>
      </c>
      <c r="J145" s="132" t="s">
        <v>346</v>
      </c>
      <c r="K145" s="173" t="s">
        <v>347</v>
      </c>
    </row>
    <row r="146" spans="1:12" hidden="1" x14ac:dyDescent="0.25">
      <c r="A146" s="27">
        <v>45687</v>
      </c>
      <c r="B146" s="11" t="s">
        <v>434</v>
      </c>
      <c r="C146" s="168">
        <v>432</v>
      </c>
      <c r="D146" s="168" t="s">
        <v>98</v>
      </c>
      <c r="E146" s="171" t="s">
        <v>435</v>
      </c>
      <c r="F146" s="168" t="s">
        <v>437</v>
      </c>
      <c r="G146" s="168" t="s">
        <v>4</v>
      </c>
      <c r="H146" s="168"/>
      <c r="I146" s="168"/>
      <c r="J146" s="132" t="s">
        <v>263</v>
      </c>
      <c r="K146" s="173" t="s">
        <v>436</v>
      </c>
    </row>
    <row r="147" spans="1:12" hidden="1" x14ac:dyDescent="0.25">
      <c r="A147" s="27">
        <v>45687</v>
      </c>
      <c r="B147" s="26">
        <v>0.91666666666666663</v>
      </c>
      <c r="C147" s="21" t="s">
        <v>20</v>
      </c>
      <c r="D147" s="1" t="s">
        <v>23</v>
      </c>
      <c r="E147" s="170"/>
      <c r="G147" s="1" t="s">
        <v>382</v>
      </c>
      <c r="K147" s="75"/>
    </row>
    <row r="148" spans="1:12" ht="0.75" customHeight="1" x14ac:dyDescent="0.25">
      <c r="A148" s="73" t="s">
        <v>442</v>
      </c>
      <c r="B148" s="39"/>
      <c r="C148" s="39"/>
      <c r="D148" s="39"/>
      <c r="E148" s="39"/>
      <c r="F148" s="39"/>
      <c r="G148" s="39"/>
      <c r="H148" s="39"/>
      <c r="I148" s="39"/>
      <c r="J148" s="39"/>
      <c r="K148" s="127"/>
    </row>
    <row r="149" spans="1:12" hidden="1" x14ac:dyDescent="0.25">
      <c r="A149" s="27">
        <v>45710</v>
      </c>
      <c r="B149" s="11">
        <v>0.85416666666666663</v>
      </c>
      <c r="C149" s="21" t="s">
        <v>19</v>
      </c>
      <c r="D149" s="1" t="s">
        <v>439</v>
      </c>
      <c r="E149" s="1" t="s">
        <v>47</v>
      </c>
      <c r="F149" s="9" t="s">
        <v>57</v>
      </c>
      <c r="G149" s="1" t="s">
        <v>22</v>
      </c>
      <c r="H149" s="1" t="s">
        <v>370</v>
      </c>
      <c r="I149" s="10" t="s">
        <v>209</v>
      </c>
      <c r="K149" s="75" t="s">
        <v>306</v>
      </c>
    </row>
    <row r="150" spans="1:12" hidden="1" x14ac:dyDescent="0.25">
      <c r="A150" s="27">
        <v>45713</v>
      </c>
      <c r="B150" s="11">
        <v>0.9375</v>
      </c>
      <c r="C150" s="21" t="s">
        <v>468</v>
      </c>
      <c r="D150" s="1" t="s">
        <v>475</v>
      </c>
      <c r="E150" s="1" t="s">
        <v>476</v>
      </c>
      <c r="F150" s="9" t="s">
        <v>477</v>
      </c>
      <c r="G150" s="1" t="s">
        <v>21</v>
      </c>
      <c r="K150" s="75"/>
    </row>
    <row r="151" spans="1:12" ht="0.75" hidden="1" customHeight="1" x14ac:dyDescent="0.25">
      <c r="A151" s="61">
        <v>45717</v>
      </c>
      <c r="B151" s="39"/>
      <c r="C151" s="39"/>
      <c r="D151" s="39"/>
      <c r="E151" s="39"/>
      <c r="F151" s="39"/>
      <c r="G151" s="39"/>
      <c r="H151" s="39"/>
      <c r="I151" s="39"/>
      <c r="J151" s="39"/>
      <c r="K151" s="127"/>
    </row>
    <row r="152" spans="1:12" hidden="1" x14ac:dyDescent="0.25">
      <c r="A152" s="27">
        <v>45722</v>
      </c>
      <c r="C152" s="21" t="s">
        <v>19</v>
      </c>
      <c r="D152" s="1" t="s">
        <v>486</v>
      </c>
      <c r="E152" s="1" t="s">
        <v>47</v>
      </c>
      <c r="G152" s="1" t="s">
        <v>22</v>
      </c>
      <c r="K152" s="75"/>
    </row>
    <row r="153" spans="1:12" hidden="1" x14ac:dyDescent="0.25">
      <c r="A153" s="27">
        <v>45723</v>
      </c>
      <c r="B153" s="175" t="s">
        <v>125</v>
      </c>
      <c r="C153" s="175" t="s">
        <v>20</v>
      </c>
      <c r="D153" s="175" t="s">
        <v>493</v>
      </c>
      <c r="E153" s="175"/>
      <c r="F153" s="175"/>
      <c r="G153" s="175" t="s">
        <v>10</v>
      </c>
      <c r="H153" s="175"/>
      <c r="I153" s="175"/>
      <c r="J153" s="175"/>
      <c r="K153" s="75"/>
    </row>
    <row r="154" spans="1:12" s="183" customFormat="1" hidden="1" x14ac:dyDescent="0.25">
      <c r="A154" s="27">
        <v>45730</v>
      </c>
      <c r="B154" s="26">
        <v>0.66666666666666663</v>
      </c>
      <c r="C154" s="182" t="s">
        <v>448</v>
      </c>
      <c r="D154" s="182" t="s">
        <v>450</v>
      </c>
      <c r="E154" s="182" t="s">
        <v>447</v>
      </c>
      <c r="F154" s="182" t="s">
        <v>57</v>
      </c>
      <c r="G154" s="182" t="s">
        <v>114</v>
      </c>
      <c r="H154" s="182" t="s">
        <v>11</v>
      </c>
      <c r="I154" s="182">
        <v>100</v>
      </c>
      <c r="J154" s="182" t="s">
        <v>449</v>
      </c>
      <c r="K154" s="83" t="s">
        <v>286</v>
      </c>
      <c r="L154" s="45"/>
    </row>
    <row r="155" spans="1:12" hidden="1" x14ac:dyDescent="0.25">
      <c r="A155" s="27">
        <v>45736</v>
      </c>
      <c r="B155" s="26"/>
      <c r="C155" s="179" t="s">
        <v>19</v>
      </c>
      <c r="D155" s="179" t="s">
        <v>471</v>
      </c>
      <c r="E155" s="179" t="s">
        <v>472</v>
      </c>
      <c r="F155" s="179" t="s">
        <v>408</v>
      </c>
      <c r="G155" s="179" t="s">
        <v>4</v>
      </c>
      <c r="H155" s="179" t="s">
        <v>11</v>
      </c>
      <c r="I155" s="179">
        <v>300</v>
      </c>
      <c r="J155" s="179" t="s">
        <v>474</v>
      </c>
      <c r="K155" s="75" t="s">
        <v>473</v>
      </c>
    </row>
    <row r="156" spans="1:12" hidden="1" x14ac:dyDescent="0.25">
      <c r="A156" s="27">
        <v>45737</v>
      </c>
      <c r="B156" s="11">
        <v>0.52083333333333337</v>
      </c>
      <c r="C156" s="21" t="s">
        <v>468</v>
      </c>
      <c r="D156" s="1" t="s">
        <v>469</v>
      </c>
      <c r="E156" s="1" t="s">
        <v>501</v>
      </c>
      <c r="F156" s="9" t="s">
        <v>57</v>
      </c>
      <c r="G156" s="1" t="s">
        <v>114</v>
      </c>
      <c r="H156" s="1" t="s">
        <v>470</v>
      </c>
      <c r="K156" s="75" t="s">
        <v>306</v>
      </c>
    </row>
    <row r="157" spans="1:12" hidden="1" x14ac:dyDescent="0.25">
      <c r="A157" s="27"/>
      <c r="B157" s="11"/>
      <c r="C157" s="179"/>
      <c r="D157" s="179"/>
      <c r="E157" s="179"/>
      <c r="F157" s="179"/>
      <c r="G157" s="179"/>
      <c r="H157" s="179"/>
      <c r="I157" s="179"/>
      <c r="J157" s="179"/>
      <c r="K157" s="75"/>
    </row>
    <row r="158" spans="1:12" ht="1.5" hidden="1" customHeight="1" x14ac:dyDescent="0.25">
      <c r="A158" s="61">
        <v>45748</v>
      </c>
      <c r="B158" s="39"/>
      <c r="C158" s="39"/>
      <c r="D158" s="39"/>
      <c r="E158" s="39"/>
      <c r="F158" s="39"/>
      <c r="G158" s="39"/>
      <c r="H158" s="39"/>
      <c r="I158" s="39"/>
      <c r="J158" s="39"/>
      <c r="K158" s="127"/>
    </row>
    <row r="159" spans="1:12" hidden="1" x14ac:dyDescent="0.25">
      <c r="A159" s="27">
        <v>45756</v>
      </c>
      <c r="C159" s="21" t="s">
        <v>19</v>
      </c>
      <c r="D159" s="1" t="s">
        <v>84</v>
      </c>
      <c r="E159" s="1" t="s">
        <v>16</v>
      </c>
      <c r="G159" s="1" t="s">
        <v>10</v>
      </c>
      <c r="K159" s="75"/>
    </row>
    <row r="160" spans="1:12" hidden="1" x14ac:dyDescent="0.25">
      <c r="A160" s="27">
        <v>45763</v>
      </c>
      <c r="B160" s="167"/>
      <c r="C160" s="21" t="s">
        <v>140</v>
      </c>
      <c r="D160" s="1" t="s">
        <v>457</v>
      </c>
      <c r="E160" s="1" t="s">
        <v>494</v>
      </c>
      <c r="G160" s="1" t="s">
        <v>4</v>
      </c>
      <c r="K160" s="75"/>
    </row>
    <row r="161" spans="1:11" ht="0.75" hidden="1" customHeight="1" x14ac:dyDescent="0.25">
      <c r="A161" s="61">
        <v>45778</v>
      </c>
      <c r="B161" s="39"/>
      <c r="C161" s="39"/>
      <c r="D161" s="39"/>
      <c r="E161" s="39"/>
      <c r="F161" s="39"/>
      <c r="G161" s="39"/>
      <c r="H161" s="39"/>
      <c r="I161" s="39"/>
      <c r="J161" s="39"/>
      <c r="K161" s="127"/>
    </row>
    <row r="162" spans="1:11" s="45" customFormat="1" hidden="1" x14ac:dyDescent="0.25">
      <c r="A162" s="15">
        <v>45782</v>
      </c>
      <c r="B162" s="7" t="s">
        <v>492</v>
      </c>
      <c r="C162" s="7" t="s">
        <v>179</v>
      </c>
      <c r="D162" s="7" t="s">
        <v>482</v>
      </c>
      <c r="E162" s="7" t="s">
        <v>483</v>
      </c>
      <c r="F162" s="7" t="s">
        <v>275</v>
      </c>
      <c r="G162" s="7" t="s">
        <v>13</v>
      </c>
      <c r="H162" s="7" t="s">
        <v>491</v>
      </c>
      <c r="I162" s="7">
        <v>250</v>
      </c>
      <c r="J162" s="7" t="s">
        <v>484</v>
      </c>
      <c r="K162" s="83" t="s">
        <v>485</v>
      </c>
    </row>
    <row r="163" spans="1:11" s="126" customFormat="1" hidden="1" x14ac:dyDescent="0.25">
      <c r="A163" s="15">
        <v>45795</v>
      </c>
      <c r="B163" s="115"/>
      <c r="C163" s="115" t="s">
        <v>20</v>
      </c>
      <c r="D163" s="115" t="s">
        <v>467</v>
      </c>
      <c r="E163" s="115" t="s">
        <v>502</v>
      </c>
      <c r="F163" s="115" t="s">
        <v>363</v>
      </c>
      <c r="G163" s="115" t="s">
        <v>114</v>
      </c>
      <c r="H163" s="115" t="s">
        <v>11</v>
      </c>
      <c r="I163" s="115">
        <v>1000</v>
      </c>
      <c r="J163" s="115"/>
      <c r="K163" s="139" t="s">
        <v>218</v>
      </c>
    </row>
    <row r="164" spans="1:11" hidden="1" x14ac:dyDescent="0.25">
      <c r="A164" s="27">
        <v>45798</v>
      </c>
      <c r="C164" s="21" t="s">
        <v>20</v>
      </c>
      <c r="D164" s="1" t="s">
        <v>534</v>
      </c>
      <c r="E164" s="1" t="s">
        <v>16</v>
      </c>
      <c r="G164" s="1" t="s">
        <v>10</v>
      </c>
      <c r="K164" s="75"/>
    </row>
    <row r="165" spans="1:11" hidden="1" x14ac:dyDescent="0.25">
      <c r="A165" s="27">
        <v>45802</v>
      </c>
      <c r="C165" s="21" t="s">
        <v>503</v>
      </c>
      <c r="D165" s="1" t="s">
        <v>504</v>
      </c>
      <c r="E165" s="1" t="s">
        <v>505</v>
      </c>
      <c r="F165" s="9" t="s">
        <v>477</v>
      </c>
      <c r="G165" s="1" t="s">
        <v>114</v>
      </c>
      <c r="H165" s="1" t="s">
        <v>11</v>
      </c>
      <c r="I165" s="10">
        <v>120</v>
      </c>
      <c r="J165" s="1" t="s">
        <v>506</v>
      </c>
      <c r="K165" s="75" t="s">
        <v>464</v>
      </c>
    </row>
    <row r="166" spans="1:11" hidden="1" x14ac:dyDescent="0.25">
      <c r="A166" s="61">
        <v>45809</v>
      </c>
      <c r="B166" s="39"/>
      <c r="C166" s="39"/>
      <c r="D166" s="39"/>
      <c r="E166" s="39"/>
      <c r="F166" s="39"/>
      <c r="G166" s="39"/>
      <c r="H166" s="39"/>
      <c r="I166" s="39"/>
      <c r="J166" s="39"/>
      <c r="K166" s="127"/>
    </row>
    <row r="167" spans="1:11" s="126" customFormat="1" hidden="1" x14ac:dyDescent="0.25">
      <c r="A167" s="15">
        <v>45816</v>
      </c>
      <c r="B167" s="115" t="s">
        <v>513</v>
      </c>
      <c r="C167" s="115" t="s">
        <v>140</v>
      </c>
      <c r="D167" s="115" t="s">
        <v>514</v>
      </c>
      <c r="E167" s="115" t="s">
        <v>515</v>
      </c>
      <c r="F167" s="115" t="s">
        <v>275</v>
      </c>
      <c r="G167" s="115" t="s">
        <v>114</v>
      </c>
      <c r="H167" s="115" t="s">
        <v>516</v>
      </c>
      <c r="I167" s="115" t="s">
        <v>107</v>
      </c>
      <c r="J167" s="115" t="s">
        <v>526</v>
      </c>
      <c r="K167" s="139" t="s">
        <v>341</v>
      </c>
    </row>
    <row r="168" spans="1:11" ht="2.25" hidden="1" customHeight="1" x14ac:dyDescent="0.25">
      <c r="A168" s="61">
        <v>45839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127"/>
    </row>
    <row r="169" spans="1:11" hidden="1" x14ac:dyDescent="0.25">
      <c r="A169" s="27">
        <v>45841</v>
      </c>
      <c r="C169" s="21" t="s">
        <v>140</v>
      </c>
      <c r="D169" s="1" t="s">
        <v>479</v>
      </c>
      <c r="E169" s="1" t="s">
        <v>528</v>
      </c>
      <c r="G169" s="1" t="s">
        <v>21</v>
      </c>
      <c r="K169" s="75"/>
    </row>
    <row r="170" spans="1:11" hidden="1" x14ac:dyDescent="0.25">
      <c r="A170" s="27">
        <v>45842</v>
      </c>
      <c r="B170" s="1" t="s">
        <v>545</v>
      </c>
      <c r="C170" s="21" t="s">
        <v>140</v>
      </c>
      <c r="D170" s="1" t="s">
        <v>495</v>
      </c>
      <c r="E170" s="1" t="s">
        <v>496</v>
      </c>
      <c r="G170" s="1" t="s">
        <v>4</v>
      </c>
      <c r="K170" s="75"/>
    </row>
    <row r="171" spans="1:11" hidden="1" x14ac:dyDescent="0.25">
      <c r="A171" s="27">
        <v>45848</v>
      </c>
      <c r="B171" s="180"/>
      <c r="C171" s="180" t="s">
        <v>140</v>
      </c>
      <c r="D171" s="180" t="s">
        <v>508</v>
      </c>
      <c r="E171" s="180" t="s">
        <v>509</v>
      </c>
      <c r="F171" s="180"/>
      <c r="G171" s="180" t="s">
        <v>21</v>
      </c>
      <c r="H171" s="180"/>
      <c r="I171" s="180"/>
      <c r="J171" s="180"/>
      <c r="K171" s="75"/>
    </row>
    <row r="172" spans="1:11" hidden="1" x14ac:dyDescent="0.25">
      <c r="A172" s="27">
        <v>45850</v>
      </c>
      <c r="B172" s="186"/>
      <c r="C172" s="186" t="s">
        <v>140</v>
      </c>
      <c r="D172" s="186" t="s">
        <v>527</v>
      </c>
      <c r="E172" s="186"/>
      <c r="F172" s="186"/>
      <c r="G172" s="186" t="s">
        <v>4</v>
      </c>
      <c r="H172" s="186"/>
      <c r="I172" s="186"/>
      <c r="J172" s="186"/>
      <c r="K172" s="75"/>
    </row>
    <row r="173" spans="1:11" hidden="1" x14ac:dyDescent="0.25">
      <c r="A173" s="61">
        <v>45870</v>
      </c>
      <c r="B173" s="39"/>
      <c r="C173" s="39"/>
      <c r="D173" s="39"/>
      <c r="E173" s="39"/>
      <c r="F173" s="39"/>
      <c r="G173" s="39"/>
      <c r="H173" s="39"/>
      <c r="I173" s="39"/>
      <c r="J173" s="39"/>
      <c r="K173" s="127"/>
    </row>
    <row r="174" spans="1:11" hidden="1" x14ac:dyDescent="0.25">
      <c r="A174" s="27">
        <v>45882</v>
      </c>
      <c r="B174" s="7"/>
      <c r="D174" s="1" t="s">
        <v>23</v>
      </c>
      <c r="G174" s="1" t="s">
        <v>10</v>
      </c>
      <c r="K174" s="75"/>
    </row>
    <row r="175" spans="1:11" ht="0.75" hidden="1" customHeight="1" x14ac:dyDescent="0.25">
      <c r="A175" s="61">
        <v>45901</v>
      </c>
      <c r="B175" s="39"/>
      <c r="C175" s="39"/>
      <c r="D175" s="39"/>
      <c r="E175" s="39"/>
      <c r="F175" s="39"/>
      <c r="G175" s="39"/>
      <c r="H175" s="39"/>
      <c r="I175" s="39"/>
      <c r="J175" s="39"/>
      <c r="K175" s="127"/>
    </row>
    <row r="176" spans="1:11" s="8" customFormat="1" hidden="1" x14ac:dyDescent="0.25">
      <c r="A176" s="15">
        <v>45903</v>
      </c>
      <c r="B176" s="7" t="s">
        <v>567</v>
      </c>
      <c r="C176" s="7" t="s">
        <v>56</v>
      </c>
      <c r="D176" s="7" t="s">
        <v>565</v>
      </c>
      <c r="E176" s="7" t="s">
        <v>566</v>
      </c>
      <c r="F176" s="7" t="s">
        <v>133</v>
      </c>
      <c r="G176" s="7" t="s">
        <v>21</v>
      </c>
      <c r="H176" s="7" t="s">
        <v>110</v>
      </c>
      <c r="I176" s="7" t="s">
        <v>524</v>
      </c>
      <c r="J176" s="7"/>
      <c r="K176" s="75"/>
    </row>
    <row r="177" spans="1:11" hidden="1" x14ac:dyDescent="0.25">
      <c r="A177" s="27">
        <v>45904</v>
      </c>
      <c r="B177" s="1" t="s">
        <v>460</v>
      </c>
      <c r="C177" s="21" t="s">
        <v>19</v>
      </c>
      <c r="D177" s="1" t="s">
        <v>461</v>
      </c>
      <c r="E177" s="1" t="s">
        <v>462</v>
      </c>
      <c r="F177" s="9" t="s">
        <v>133</v>
      </c>
      <c r="G177" s="1" t="s">
        <v>114</v>
      </c>
      <c r="H177" s="1" t="s">
        <v>463</v>
      </c>
      <c r="I177" s="10">
        <v>50</v>
      </c>
      <c r="K177" s="75" t="s">
        <v>464</v>
      </c>
    </row>
    <row r="178" spans="1:11" hidden="1" x14ac:dyDescent="0.25">
      <c r="A178" s="27">
        <v>45914</v>
      </c>
      <c r="B178" s="194" t="s">
        <v>558</v>
      </c>
      <c r="C178" s="194" t="s">
        <v>316</v>
      </c>
      <c r="D178" s="194" t="s">
        <v>559</v>
      </c>
      <c r="E178" s="194" t="s">
        <v>63</v>
      </c>
      <c r="F178" s="194" t="s">
        <v>133</v>
      </c>
      <c r="G178" s="194" t="s">
        <v>21</v>
      </c>
      <c r="H178" s="194" t="s">
        <v>11</v>
      </c>
      <c r="I178" s="194">
        <v>60</v>
      </c>
      <c r="J178" s="194" t="s">
        <v>560</v>
      </c>
      <c r="K178" s="75" t="s">
        <v>561</v>
      </c>
    </row>
    <row r="179" spans="1:11" hidden="1" x14ac:dyDescent="0.25">
      <c r="A179" s="27">
        <v>45918</v>
      </c>
      <c r="B179" s="11" t="s">
        <v>517</v>
      </c>
      <c r="C179" s="185" t="s">
        <v>20</v>
      </c>
      <c r="D179" s="185" t="s">
        <v>518</v>
      </c>
      <c r="E179" s="185" t="s">
        <v>520</v>
      </c>
      <c r="F179" s="185" t="s">
        <v>521</v>
      </c>
      <c r="G179" s="185" t="s">
        <v>13</v>
      </c>
      <c r="H179" s="185" t="s">
        <v>119</v>
      </c>
      <c r="I179" s="185">
        <v>500</v>
      </c>
      <c r="J179" s="185" t="s">
        <v>519</v>
      </c>
      <c r="K179" s="75"/>
    </row>
    <row r="180" spans="1:11" ht="1.5" hidden="1" customHeight="1" x14ac:dyDescent="0.25">
      <c r="A180" s="61">
        <v>45931</v>
      </c>
      <c r="B180" s="39"/>
      <c r="C180" s="39"/>
      <c r="D180" s="39"/>
      <c r="E180" s="39"/>
      <c r="F180" s="39"/>
      <c r="G180" s="39"/>
      <c r="H180" s="39"/>
      <c r="I180" s="39"/>
      <c r="J180" s="39"/>
      <c r="K180" s="127"/>
    </row>
    <row r="181" spans="1:11" hidden="1" x14ac:dyDescent="0.25">
      <c r="A181" s="27">
        <v>45952</v>
      </c>
      <c r="B181" s="201" t="s">
        <v>557</v>
      </c>
      <c r="C181" s="21" t="s">
        <v>19</v>
      </c>
      <c r="D181" s="1" t="s">
        <v>556</v>
      </c>
      <c r="E181" s="1" t="s">
        <v>510</v>
      </c>
      <c r="F181" s="9" t="s">
        <v>512</v>
      </c>
      <c r="G181" s="1" t="s">
        <v>21</v>
      </c>
      <c r="H181" s="1" t="s">
        <v>157</v>
      </c>
      <c r="K181" s="8" t="s">
        <v>263</v>
      </c>
    </row>
    <row r="182" spans="1:11" hidden="1" x14ac:dyDescent="0.25">
      <c r="A182" s="27">
        <v>45961</v>
      </c>
      <c r="B182" s="1" t="s">
        <v>140</v>
      </c>
      <c r="C182" s="21" t="s">
        <v>140</v>
      </c>
      <c r="D182" s="1" t="s">
        <v>547</v>
      </c>
      <c r="E182" s="1" t="s">
        <v>548</v>
      </c>
      <c r="F182" s="9" t="s">
        <v>275</v>
      </c>
      <c r="G182" s="1" t="s">
        <v>114</v>
      </c>
      <c r="H182" s="1" t="s">
        <v>549</v>
      </c>
      <c r="I182" s="10">
        <v>1200</v>
      </c>
      <c r="J182" s="1" t="s">
        <v>550</v>
      </c>
      <c r="K182" s="75"/>
    </row>
    <row r="183" spans="1:11" hidden="1" x14ac:dyDescent="0.25">
      <c r="A183" s="61">
        <v>45962</v>
      </c>
      <c r="B183" s="39"/>
      <c r="C183" s="39"/>
      <c r="D183" s="39"/>
      <c r="E183" s="39"/>
      <c r="F183" s="39"/>
      <c r="G183" s="39"/>
      <c r="H183" s="39"/>
      <c r="I183" s="39"/>
      <c r="J183" s="39"/>
      <c r="K183" s="127"/>
    </row>
    <row r="184" spans="1:11" hidden="1" x14ac:dyDescent="0.25">
      <c r="A184" s="27">
        <v>45967</v>
      </c>
      <c r="C184" s="21" t="s">
        <v>140</v>
      </c>
      <c r="D184" s="1" t="s">
        <v>563</v>
      </c>
      <c r="E184" s="1" t="s">
        <v>564</v>
      </c>
      <c r="G184" s="1" t="s">
        <v>4</v>
      </c>
      <c r="K184" s="75"/>
    </row>
    <row r="185" spans="1:11" hidden="1" x14ac:dyDescent="0.25">
      <c r="A185" s="27">
        <v>45974</v>
      </c>
      <c r="B185" s="1" t="s">
        <v>575</v>
      </c>
      <c r="C185" s="21" t="s">
        <v>140</v>
      </c>
      <c r="D185" s="199" t="s">
        <v>571</v>
      </c>
      <c r="E185" s="200" t="s">
        <v>570</v>
      </c>
      <c r="F185" s="9" t="s">
        <v>572</v>
      </c>
      <c r="G185" s="1" t="s">
        <v>114</v>
      </c>
      <c r="H185" s="1" t="s">
        <v>573</v>
      </c>
      <c r="I185" s="10">
        <v>650</v>
      </c>
      <c r="J185" s="1" t="s">
        <v>574</v>
      </c>
      <c r="K185" s="75"/>
    </row>
    <row r="186" spans="1:11" hidden="1" x14ac:dyDescent="0.25">
      <c r="A186" s="61">
        <v>45992</v>
      </c>
      <c r="B186" s="39"/>
      <c r="C186" s="39"/>
      <c r="D186" s="39"/>
      <c r="E186" s="39"/>
      <c r="F186" s="39"/>
      <c r="G186" s="39"/>
      <c r="H186" s="39"/>
      <c r="I186" s="39"/>
      <c r="J186" s="39"/>
      <c r="K186" s="127"/>
    </row>
    <row r="187" spans="1:11" s="126" customFormat="1" hidden="1" x14ac:dyDescent="0.25">
      <c r="A187" s="15">
        <v>46005</v>
      </c>
      <c r="B187" s="115"/>
      <c r="C187" s="115" t="s">
        <v>19</v>
      </c>
      <c r="D187" s="115" t="s">
        <v>98</v>
      </c>
      <c r="E187" s="115" t="s">
        <v>435</v>
      </c>
      <c r="F187" s="115"/>
      <c r="G187" s="115" t="s">
        <v>10</v>
      </c>
      <c r="H187" s="115"/>
      <c r="I187" s="115"/>
      <c r="J187" s="115"/>
      <c r="K187" s="139"/>
    </row>
    <row r="188" spans="1:11" s="126" customFormat="1" hidden="1" x14ac:dyDescent="0.25">
      <c r="A188" s="15">
        <v>46006</v>
      </c>
      <c r="B188" s="115"/>
      <c r="C188" s="115" t="s">
        <v>19</v>
      </c>
      <c r="D188" s="115" t="s">
        <v>576</v>
      </c>
      <c r="E188" s="115" t="s">
        <v>248</v>
      </c>
      <c r="F188" s="115"/>
      <c r="G188" s="115" t="s">
        <v>249</v>
      </c>
      <c r="H188" s="115"/>
      <c r="I188" s="115"/>
      <c r="J188" s="115"/>
      <c r="K188" s="139"/>
    </row>
    <row r="189" spans="1:11" s="8" customFormat="1" hidden="1" x14ac:dyDescent="0.25">
      <c r="A189" s="15">
        <v>46007</v>
      </c>
      <c r="B189" s="7"/>
      <c r="C189" s="7" t="s">
        <v>19</v>
      </c>
      <c r="D189" s="7" t="s">
        <v>80</v>
      </c>
      <c r="E189" s="7" t="s">
        <v>16</v>
      </c>
      <c r="F189" s="7"/>
      <c r="G189" s="7" t="s">
        <v>10</v>
      </c>
      <c r="H189" s="7"/>
      <c r="I189" s="7"/>
      <c r="J189" s="7"/>
      <c r="K189" s="75"/>
    </row>
    <row r="190" spans="1:11" s="126" customFormat="1" hidden="1" x14ac:dyDescent="0.25">
      <c r="A190" s="15">
        <v>46008</v>
      </c>
      <c r="B190" s="115"/>
      <c r="C190" s="115" t="s">
        <v>19</v>
      </c>
      <c r="D190" s="115" t="s">
        <v>569</v>
      </c>
      <c r="E190" s="115" t="s">
        <v>248</v>
      </c>
      <c r="F190" s="115"/>
      <c r="G190" s="115" t="s">
        <v>249</v>
      </c>
      <c r="H190" s="115"/>
      <c r="I190" s="115"/>
      <c r="J190" s="115"/>
      <c r="K190" s="139"/>
    </row>
    <row r="191" spans="1:11" s="126" customFormat="1" hidden="1" x14ac:dyDescent="0.25">
      <c r="A191" s="15">
        <v>46009</v>
      </c>
      <c r="B191" s="115"/>
      <c r="C191" s="115" t="s">
        <v>19</v>
      </c>
      <c r="D191" s="115" t="s">
        <v>81</v>
      </c>
      <c r="E191" s="115" t="s">
        <v>16</v>
      </c>
      <c r="F191" s="115"/>
      <c r="G191" s="115" t="s">
        <v>10</v>
      </c>
      <c r="H191" s="115"/>
      <c r="I191" s="115"/>
      <c r="J191" s="115"/>
      <c r="K191" s="139"/>
    </row>
    <row r="192" spans="1:11" s="126" customFormat="1" hidden="1" x14ac:dyDescent="0.25">
      <c r="A192" s="15">
        <v>46010</v>
      </c>
      <c r="B192" s="202"/>
      <c r="C192" s="115" t="s">
        <v>19</v>
      </c>
      <c r="D192" s="115" t="s">
        <v>583</v>
      </c>
      <c r="E192" s="115" t="s">
        <v>16</v>
      </c>
      <c r="F192" s="115"/>
      <c r="G192" s="115" t="s">
        <v>10</v>
      </c>
      <c r="H192" s="115"/>
      <c r="I192" s="115"/>
      <c r="J192" s="115"/>
      <c r="K192" s="139"/>
    </row>
    <row r="193" spans="1:12" hidden="1" x14ac:dyDescent="0.25">
      <c r="A193" s="27">
        <v>46011</v>
      </c>
      <c r="C193" s="21" t="s">
        <v>19</v>
      </c>
      <c r="D193" s="1" t="s">
        <v>324</v>
      </c>
      <c r="E193" s="1" t="s">
        <v>553</v>
      </c>
      <c r="F193" s="9" t="s">
        <v>562</v>
      </c>
      <c r="G193" s="1" t="s">
        <v>4</v>
      </c>
      <c r="H193" s="1" t="s">
        <v>537</v>
      </c>
      <c r="J193" s="1" t="s">
        <v>536</v>
      </c>
      <c r="K193" s="75" t="s">
        <v>263</v>
      </c>
    </row>
    <row r="194" spans="1:12" hidden="1" x14ac:dyDescent="0.25">
      <c r="A194" s="27">
        <v>46016</v>
      </c>
      <c r="C194" s="21" t="s">
        <v>19</v>
      </c>
      <c r="D194" s="1" t="s">
        <v>592</v>
      </c>
      <c r="E194" s="1" t="s">
        <v>591</v>
      </c>
      <c r="F194" s="9" t="s">
        <v>133</v>
      </c>
      <c r="G194" s="1" t="s">
        <v>114</v>
      </c>
      <c r="H194" s="1" t="s">
        <v>160</v>
      </c>
      <c r="J194" s="1" t="s">
        <v>593</v>
      </c>
      <c r="K194" s="75"/>
    </row>
    <row r="195" spans="1:12" ht="0.75" hidden="1" customHeight="1" x14ac:dyDescent="0.25">
      <c r="A195" s="190">
        <v>2026</v>
      </c>
      <c r="B195" s="188"/>
      <c r="C195" s="188"/>
      <c r="D195" s="188"/>
      <c r="E195" s="188"/>
      <c r="F195" s="188"/>
      <c r="G195" s="188"/>
      <c r="H195" s="188"/>
      <c r="I195" s="188"/>
      <c r="J195" s="188"/>
      <c r="K195" s="189"/>
    </row>
    <row r="196" spans="1:12" hidden="1" x14ac:dyDescent="0.25">
      <c r="A196" s="61">
        <v>46023</v>
      </c>
      <c r="B196" s="39"/>
      <c r="C196" s="39"/>
      <c r="D196" s="39"/>
      <c r="E196" s="39"/>
      <c r="F196" s="39"/>
      <c r="G196" s="39"/>
      <c r="H196" s="39"/>
      <c r="I196" s="39"/>
      <c r="J196" s="39"/>
      <c r="K196" s="127"/>
    </row>
    <row r="197" spans="1:12" s="8" customFormat="1" hidden="1" x14ac:dyDescent="0.25">
      <c r="A197" s="15">
        <v>46023</v>
      </c>
      <c r="B197" s="26">
        <v>0.95833333333333337</v>
      </c>
      <c r="C197" s="7" t="s">
        <v>140</v>
      </c>
      <c r="D197" s="7" t="s">
        <v>577</v>
      </c>
      <c r="E197" s="7"/>
      <c r="F197" s="7"/>
      <c r="G197" s="7" t="s">
        <v>4</v>
      </c>
      <c r="H197" s="7"/>
      <c r="I197" s="7"/>
      <c r="J197" s="7" t="s">
        <v>578</v>
      </c>
      <c r="K197" s="75"/>
    </row>
    <row r="198" spans="1:12" s="126" customFormat="1" hidden="1" x14ac:dyDescent="0.25">
      <c r="A198" s="15">
        <v>46030</v>
      </c>
      <c r="B198" s="202" t="s">
        <v>589</v>
      </c>
      <c r="C198" s="115" t="s">
        <v>19</v>
      </c>
      <c r="D198" s="115" t="s">
        <v>595</v>
      </c>
      <c r="E198" s="115" t="s">
        <v>597</v>
      </c>
      <c r="F198" s="115" t="s">
        <v>572</v>
      </c>
      <c r="G198" s="115" t="s">
        <v>4</v>
      </c>
      <c r="H198" s="115" t="s">
        <v>75</v>
      </c>
      <c r="I198" s="115"/>
      <c r="J198" s="115" t="s">
        <v>584</v>
      </c>
      <c r="K198" s="139"/>
    </row>
    <row r="199" spans="1:12" s="8" customFormat="1" hidden="1" x14ac:dyDescent="0.25">
      <c r="A199" s="15">
        <v>46033</v>
      </c>
      <c r="B199" s="26">
        <v>0.875</v>
      </c>
      <c r="C199" s="7" t="s">
        <v>140</v>
      </c>
      <c r="D199" s="7" t="s">
        <v>581</v>
      </c>
      <c r="E199" s="7" t="s">
        <v>579</v>
      </c>
      <c r="F199" s="7" t="s">
        <v>572</v>
      </c>
      <c r="G199" s="7" t="s">
        <v>114</v>
      </c>
      <c r="H199" s="7" t="s">
        <v>580</v>
      </c>
      <c r="I199" s="7"/>
      <c r="J199" s="7" t="s">
        <v>582</v>
      </c>
      <c r="K199" s="75"/>
    </row>
    <row r="200" spans="1:12" s="8" customFormat="1" hidden="1" x14ac:dyDescent="0.25">
      <c r="A200" s="15">
        <v>46051</v>
      </c>
      <c r="B200" s="26">
        <v>0.91666666666666663</v>
      </c>
      <c r="C200" s="7" t="s">
        <v>20</v>
      </c>
      <c r="D200" s="7" t="s">
        <v>598</v>
      </c>
      <c r="E200" s="7"/>
      <c r="F200" s="7"/>
      <c r="G200" s="7" t="s">
        <v>10</v>
      </c>
      <c r="H200" s="7" t="s">
        <v>585</v>
      </c>
      <c r="I200" s="7"/>
      <c r="J200" s="7"/>
      <c r="K200" s="75"/>
    </row>
    <row r="201" spans="1:12" hidden="1" x14ac:dyDescent="0.25">
      <c r="A201" s="27">
        <v>46052</v>
      </c>
      <c r="B201" s="1" t="s">
        <v>125</v>
      </c>
      <c r="C201" s="21" t="s">
        <v>20</v>
      </c>
      <c r="D201" s="1" t="s">
        <v>599</v>
      </c>
      <c r="G201" s="1" t="s">
        <v>10</v>
      </c>
      <c r="K201" s="75"/>
    </row>
    <row r="202" spans="1:12" hidden="1" x14ac:dyDescent="0.25">
      <c r="A202" s="61">
        <v>46054</v>
      </c>
      <c r="B202" s="39"/>
      <c r="C202" s="39"/>
      <c r="D202" s="39"/>
      <c r="E202" s="39"/>
      <c r="F202" s="39"/>
      <c r="G202" s="39"/>
      <c r="H202" s="39"/>
      <c r="I202" s="39"/>
      <c r="J202" s="39"/>
      <c r="K202" s="127"/>
    </row>
    <row r="203" spans="1:12" s="126" customFormat="1" hidden="1" x14ac:dyDescent="0.25">
      <c r="A203" s="15">
        <v>46070</v>
      </c>
      <c r="B203" s="208">
        <v>0.875</v>
      </c>
      <c r="C203" s="115" t="s">
        <v>140</v>
      </c>
      <c r="D203" s="115" t="s">
        <v>600</v>
      </c>
      <c r="E203" s="115" t="s">
        <v>604</v>
      </c>
      <c r="F203" s="115"/>
      <c r="G203" s="115" t="s">
        <v>21</v>
      </c>
      <c r="H203" s="115" t="s">
        <v>603</v>
      </c>
      <c r="I203" s="115"/>
      <c r="J203" s="115" t="s">
        <v>146</v>
      </c>
      <c r="K203" s="139"/>
    </row>
    <row r="204" spans="1:12" hidden="1" x14ac:dyDescent="0.25">
      <c r="A204" s="27">
        <v>46072</v>
      </c>
      <c r="B204" s="1" t="s">
        <v>543</v>
      </c>
      <c r="C204" s="21" t="s">
        <v>19</v>
      </c>
      <c r="D204" s="1" t="s">
        <v>542</v>
      </c>
      <c r="E204" s="193" t="s">
        <v>554</v>
      </c>
      <c r="F204" s="9" t="s">
        <v>546</v>
      </c>
      <c r="G204" s="1" t="s">
        <v>10</v>
      </c>
      <c r="H204" s="1" t="s">
        <v>537</v>
      </c>
      <c r="I204" s="10">
        <v>391</v>
      </c>
      <c r="J204" s="1" t="s">
        <v>536</v>
      </c>
      <c r="K204" s="75" t="s">
        <v>263</v>
      </c>
    </row>
    <row r="205" spans="1:12" hidden="1" x14ac:dyDescent="0.25">
      <c r="A205" s="61">
        <v>46082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127"/>
    </row>
    <row r="206" spans="1:12" ht="0.75" hidden="1" customHeight="1" x14ac:dyDescent="0.25">
      <c r="A206" s="206" t="s">
        <v>601</v>
      </c>
      <c r="B206" s="205"/>
      <c r="C206" s="39"/>
      <c r="D206" s="39"/>
      <c r="E206" s="39"/>
      <c r="F206" s="39"/>
      <c r="G206" s="39"/>
      <c r="H206" s="39"/>
      <c r="I206" s="39"/>
      <c r="J206" s="39"/>
      <c r="K206" s="127"/>
    </row>
    <row r="207" spans="1:12" s="214" customFormat="1" hidden="1" x14ac:dyDescent="0.25">
      <c r="A207" s="141">
        <v>46118</v>
      </c>
      <c r="B207" s="216" t="s">
        <v>645</v>
      </c>
      <c r="C207" s="142" t="s">
        <v>468</v>
      </c>
      <c r="D207" s="142" t="s">
        <v>622</v>
      </c>
      <c r="E207" s="142" t="s">
        <v>614</v>
      </c>
      <c r="F207" s="142" t="s">
        <v>624</v>
      </c>
      <c r="G207" s="142" t="s">
        <v>4</v>
      </c>
      <c r="H207" s="142"/>
      <c r="I207" s="142"/>
      <c r="J207" s="142" t="s">
        <v>623</v>
      </c>
      <c r="K207" s="213"/>
    </row>
    <row r="208" spans="1:12" s="174" customFormat="1" hidden="1" x14ac:dyDescent="0.25">
      <c r="A208" s="144">
        <v>46128</v>
      </c>
      <c r="B208" s="215" t="s">
        <v>630</v>
      </c>
      <c r="C208" s="145" t="s">
        <v>140</v>
      </c>
      <c r="D208" s="145" t="s">
        <v>615</v>
      </c>
      <c r="E208" s="145" t="s">
        <v>612</v>
      </c>
      <c r="F208" s="145"/>
      <c r="G208" s="145" t="s">
        <v>4</v>
      </c>
      <c r="H208" s="145"/>
      <c r="I208" s="145"/>
      <c r="J208" s="145"/>
      <c r="K208" s="165"/>
      <c r="L208" s="166"/>
    </row>
    <row r="209" spans="1:12" s="183" customFormat="1" hidden="1" x14ac:dyDescent="0.25">
      <c r="A209" s="27">
        <v>46133</v>
      </c>
      <c r="B209" s="11">
        <v>0.875</v>
      </c>
      <c r="C209" s="209" t="s">
        <v>20</v>
      </c>
      <c r="D209" s="209" t="s">
        <v>653</v>
      </c>
      <c r="E209" s="210" t="s">
        <v>632</v>
      </c>
      <c r="F209" s="209" t="s">
        <v>268</v>
      </c>
      <c r="G209" s="209" t="s">
        <v>22</v>
      </c>
      <c r="H209" s="209" t="s">
        <v>106</v>
      </c>
      <c r="I209" s="209" t="s">
        <v>524</v>
      </c>
      <c r="J209" s="11">
        <v>0.875</v>
      </c>
      <c r="K209" s="83"/>
      <c r="L209" s="45"/>
    </row>
    <row r="210" spans="1:12" s="174" customFormat="1" hidden="1" x14ac:dyDescent="0.25">
      <c r="A210" s="144">
        <v>46133</v>
      </c>
      <c r="B210" s="217">
        <v>0.9375</v>
      </c>
      <c r="C210" s="145" t="s">
        <v>20</v>
      </c>
      <c r="D210" s="145" t="s">
        <v>646</v>
      </c>
      <c r="E210" s="145" t="s">
        <v>633</v>
      </c>
      <c r="F210" s="145" t="s">
        <v>268</v>
      </c>
      <c r="G210" s="145" t="s">
        <v>13</v>
      </c>
      <c r="H210" s="145" t="s">
        <v>217</v>
      </c>
      <c r="I210" s="145">
        <v>1000</v>
      </c>
      <c r="J210" s="217">
        <v>0.9375</v>
      </c>
      <c r="K210" s="165"/>
      <c r="L210" s="166"/>
    </row>
    <row r="211" spans="1:12" hidden="1" x14ac:dyDescent="0.25">
      <c r="A211" s="27">
        <v>46134</v>
      </c>
      <c r="B211" s="26">
        <v>0.60416666666666663</v>
      </c>
      <c r="C211" s="203" t="s">
        <v>140</v>
      </c>
      <c r="D211" s="203" t="s">
        <v>652</v>
      </c>
      <c r="E211" s="203"/>
      <c r="F211" s="203" t="s">
        <v>613</v>
      </c>
      <c r="G211" s="203" t="s">
        <v>21</v>
      </c>
      <c r="H211" s="203" t="s">
        <v>160</v>
      </c>
      <c r="I211" s="203"/>
      <c r="J211" s="203"/>
      <c r="K211" s="75"/>
    </row>
    <row r="212" spans="1:12" hidden="1" x14ac:dyDescent="0.25">
      <c r="A212" s="27">
        <v>46142</v>
      </c>
      <c r="B212" s="202" t="s">
        <v>634</v>
      </c>
      <c r="C212" s="21" t="s">
        <v>20</v>
      </c>
      <c r="D212" s="1" t="s">
        <v>625</v>
      </c>
      <c r="E212" s="1" t="s">
        <v>617</v>
      </c>
      <c r="F212" s="9" t="s">
        <v>618</v>
      </c>
      <c r="G212" s="1" t="s">
        <v>21</v>
      </c>
      <c r="H212" s="1" t="s">
        <v>537</v>
      </c>
      <c r="K212" s="75"/>
    </row>
    <row r="213" spans="1:12" hidden="1" x14ac:dyDescent="0.25">
      <c r="A213" s="61">
        <v>46143</v>
      </c>
      <c r="B213" s="39"/>
      <c r="C213" s="39"/>
      <c r="D213" s="39"/>
      <c r="E213" s="39"/>
      <c r="F213" s="39"/>
      <c r="G213" s="39"/>
      <c r="H213" s="39"/>
      <c r="I213" s="39"/>
      <c r="J213" s="39"/>
      <c r="K213" s="127"/>
    </row>
    <row r="214" spans="1:12" s="214" customFormat="1" hidden="1" x14ac:dyDescent="0.25">
      <c r="A214" s="141">
        <v>46144</v>
      </c>
      <c r="B214" s="211" t="s">
        <v>630</v>
      </c>
      <c r="C214" s="142" t="s">
        <v>19</v>
      </c>
      <c r="D214" s="142" t="s">
        <v>605</v>
      </c>
      <c r="E214" s="212" t="s">
        <v>606</v>
      </c>
      <c r="F214" s="143" t="s">
        <v>572</v>
      </c>
      <c r="G214" s="142" t="s">
        <v>114</v>
      </c>
      <c r="H214" s="142" t="s">
        <v>11</v>
      </c>
      <c r="I214" s="142">
        <v>300</v>
      </c>
      <c r="J214" s="142" t="s">
        <v>607</v>
      </c>
      <c r="K214" s="213"/>
    </row>
    <row r="215" spans="1:12" s="126" customFormat="1" hidden="1" x14ac:dyDescent="0.25">
      <c r="A215" s="15">
        <v>46160</v>
      </c>
      <c r="B215" s="208"/>
      <c r="C215" s="115" t="s">
        <v>19</v>
      </c>
      <c r="D215" s="115" t="s">
        <v>647</v>
      </c>
      <c r="E215" s="218" t="s">
        <v>648</v>
      </c>
      <c r="F215" s="7" t="s">
        <v>275</v>
      </c>
      <c r="G215" s="115" t="s">
        <v>13</v>
      </c>
      <c r="H215" s="115"/>
      <c r="I215" s="115"/>
      <c r="J215" s="115"/>
      <c r="K215" s="139"/>
    </row>
    <row r="216" spans="1:12" hidden="1" x14ac:dyDescent="0.25">
      <c r="A216" s="27">
        <v>46162</v>
      </c>
      <c r="B216" s="207"/>
      <c r="C216" s="207" t="s">
        <v>20</v>
      </c>
      <c r="D216" s="207" t="s">
        <v>619</v>
      </c>
      <c r="E216" s="207" t="s">
        <v>16</v>
      </c>
      <c r="F216" s="207"/>
      <c r="G216" s="207" t="s">
        <v>10</v>
      </c>
      <c r="H216" s="207"/>
      <c r="I216" s="207"/>
      <c r="J216" s="207"/>
      <c r="K216" s="75"/>
    </row>
    <row r="217" spans="1:12" s="174" customFormat="1" hidden="1" x14ac:dyDescent="0.25">
      <c r="A217" s="144">
        <v>46169</v>
      </c>
      <c r="B217" s="215" t="s">
        <v>667</v>
      </c>
      <c r="C217" s="145" t="s">
        <v>19</v>
      </c>
      <c r="D217" s="145" t="s">
        <v>643</v>
      </c>
      <c r="E217" s="145" t="s">
        <v>248</v>
      </c>
      <c r="F217" s="145"/>
      <c r="G217" s="145" t="s">
        <v>249</v>
      </c>
      <c r="H217" s="145"/>
      <c r="I217" s="145"/>
      <c r="J217" s="145"/>
      <c r="K217" s="165"/>
      <c r="L217" s="166"/>
    </row>
    <row r="218" spans="1:12" hidden="1" x14ac:dyDescent="0.25">
      <c r="A218" s="61">
        <v>46174</v>
      </c>
      <c r="B218" s="39"/>
      <c r="C218" s="39"/>
      <c r="D218" s="39"/>
      <c r="E218" s="39"/>
      <c r="F218" s="39"/>
      <c r="G218" s="39"/>
      <c r="H218" s="39"/>
      <c r="I218" s="39"/>
      <c r="J218" s="39"/>
      <c r="K218" s="127"/>
    </row>
    <row r="219" spans="1:12" hidden="1" x14ac:dyDescent="0.25">
      <c r="A219" s="27">
        <v>46177</v>
      </c>
      <c r="B219" s="181" t="s">
        <v>644</v>
      </c>
      <c r="C219" s="207" t="s">
        <v>19</v>
      </c>
      <c r="D219" s="207" t="s">
        <v>620</v>
      </c>
      <c r="E219" s="207" t="s">
        <v>616</v>
      </c>
      <c r="F219" s="207" t="s">
        <v>572</v>
      </c>
      <c r="G219" s="207" t="s">
        <v>4</v>
      </c>
      <c r="H219" s="207" t="s">
        <v>119</v>
      </c>
      <c r="I219" s="207">
        <v>140</v>
      </c>
      <c r="J219" s="207" t="s">
        <v>263</v>
      </c>
      <c r="K219" s="75"/>
    </row>
    <row r="220" spans="1:12" hidden="1" x14ac:dyDescent="0.25">
      <c r="A220" s="27">
        <v>46183</v>
      </c>
      <c r="C220" s="21" t="s">
        <v>20</v>
      </c>
      <c r="D220" s="1" t="s">
        <v>23</v>
      </c>
      <c r="G220" s="1" t="s">
        <v>10</v>
      </c>
      <c r="K220" s="75"/>
    </row>
    <row r="221" spans="1:12" hidden="1" x14ac:dyDescent="0.25">
      <c r="A221" s="27">
        <v>46184</v>
      </c>
      <c r="B221" s="181" t="s">
        <v>626</v>
      </c>
      <c r="C221" s="21" t="s">
        <v>20</v>
      </c>
      <c r="D221" s="1" t="s">
        <v>661</v>
      </c>
      <c r="G221" s="1" t="s">
        <v>4</v>
      </c>
      <c r="K221" s="75"/>
    </row>
    <row r="222" spans="1:12" hidden="1" x14ac:dyDescent="0.25">
      <c r="A222" s="27">
        <v>46191</v>
      </c>
      <c r="B222" s="181" t="s">
        <v>627</v>
      </c>
      <c r="C222" s="21" t="s">
        <v>20</v>
      </c>
      <c r="D222" s="1" t="s">
        <v>602</v>
      </c>
      <c r="E222" s="1" t="s">
        <v>16</v>
      </c>
      <c r="G222" s="1" t="s">
        <v>10</v>
      </c>
      <c r="K222" s="75"/>
    </row>
    <row r="223" spans="1:12" hidden="1" x14ac:dyDescent="0.25">
      <c r="A223" s="27">
        <v>46198</v>
      </c>
      <c r="B223" s="181" t="s">
        <v>113</v>
      </c>
      <c r="C223" s="220"/>
      <c r="D223" s="220" t="s">
        <v>662</v>
      </c>
      <c r="E223" s="220" t="s">
        <v>673</v>
      </c>
      <c r="F223" s="220" t="s">
        <v>572</v>
      </c>
      <c r="G223" s="220" t="s">
        <v>21</v>
      </c>
      <c r="H223" s="220"/>
      <c r="I223" s="220"/>
      <c r="J223" s="220"/>
      <c r="K223" s="75"/>
    </row>
    <row r="224" spans="1:12" hidden="1" x14ac:dyDescent="0.25">
      <c r="A224" s="27">
        <v>46200</v>
      </c>
      <c r="B224" s="181" t="s">
        <v>638</v>
      </c>
      <c r="C224" s="21" t="s">
        <v>140</v>
      </c>
      <c r="D224" s="1" t="s">
        <v>639</v>
      </c>
      <c r="G224" s="1" t="s">
        <v>4</v>
      </c>
      <c r="K224" s="75"/>
    </row>
    <row r="225" spans="1:11" x14ac:dyDescent="0.25">
      <c r="A225" s="61">
        <v>46204</v>
      </c>
      <c r="B225" s="39"/>
      <c r="C225" s="39"/>
      <c r="D225" s="39"/>
      <c r="E225" s="39"/>
      <c r="F225" s="39"/>
      <c r="G225" s="39"/>
      <c r="H225" s="39"/>
      <c r="I225" s="39"/>
      <c r="J225" s="39"/>
      <c r="K225" s="127"/>
    </row>
    <row r="226" spans="1:11" x14ac:dyDescent="0.25">
      <c r="A226" s="27">
        <v>46208</v>
      </c>
      <c r="B226" s="11">
        <v>0.625</v>
      </c>
      <c r="C226" s="21" t="s">
        <v>19</v>
      </c>
      <c r="D226" s="1" t="s">
        <v>649</v>
      </c>
      <c r="E226" s="1" t="s">
        <v>650</v>
      </c>
      <c r="F226" s="9" t="s">
        <v>658</v>
      </c>
      <c r="G226" s="1" t="s">
        <v>114</v>
      </c>
      <c r="H226" s="1" t="s">
        <v>11</v>
      </c>
      <c r="I226" s="10">
        <v>100</v>
      </c>
      <c r="J226" s="1" t="s">
        <v>651</v>
      </c>
      <c r="K226" s="75"/>
    </row>
    <row r="227" spans="1:11" x14ac:dyDescent="0.25">
      <c r="A227" s="27">
        <v>46232</v>
      </c>
      <c r="B227" s="11">
        <v>0.85416666666666663</v>
      </c>
      <c r="C227" s="226" t="s">
        <v>19</v>
      </c>
      <c r="D227" s="226" t="s">
        <v>681</v>
      </c>
      <c r="E227" s="226" t="s">
        <v>683</v>
      </c>
      <c r="F227" s="226" t="s">
        <v>268</v>
      </c>
      <c r="G227" s="226" t="s">
        <v>114</v>
      </c>
      <c r="H227" s="226" t="s">
        <v>11</v>
      </c>
      <c r="I227" s="226">
        <v>280</v>
      </c>
      <c r="J227" s="226"/>
      <c r="K227" s="75"/>
    </row>
    <row r="228" spans="1:11" x14ac:dyDescent="0.25">
      <c r="A228" s="18">
        <v>46235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219"/>
    </row>
    <row r="229" spans="1:11" s="228" customFormat="1" x14ac:dyDescent="0.25">
      <c r="A229" s="15">
        <v>46240</v>
      </c>
      <c r="B229" s="115"/>
      <c r="C229" s="115" t="s">
        <v>140</v>
      </c>
      <c r="D229" s="115" t="s">
        <v>687</v>
      </c>
      <c r="E229" s="115" t="s">
        <v>688</v>
      </c>
      <c r="F229" s="115" t="s">
        <v>275</v>
      </c>
      <c r="G229" s="115" t="s">
        <v>114</v>
      </c>
      <c r="H229" s="115" t="s">
        <v>573</v>
      </c>
      <c r="I229" s="115">
        <v>650</v>
      </c>
      <c r="J229" s="115" t="s">
        <v>689</v>
      </c>
      <c r="K229" s="229"/>
    </row>
    <row r="230" spans="1:11" s="228" customFormat="1" x14ac:dyDescent="0.25">
      <c r="A230" s="15">
        <v>46247</v>
      </c>
      <c r="B230" s="115" t="s">
        <v>697</v>
      </c>
      <c r="C230" s="115" t="s">
        <v>19</v>
      </c>
      <c r="D230" s="115" t="s">
        <v>698</v>
      </c>
      <c r="E230" s="115" t="s">
        <v>699</v>
      </c>
      <c r="F230" s="115" t="s">
        <v>700</v>
      </c>
      <c r="G230" s="115" t="s">
        <v>21</v>
      </c>
      <c r="H230" s="115" t="s">
        <v>11</v>
      </c>
      <c r="I230" s="115">
        <v>350</v>
      </c>
      <c r="J230" s="115" t="s">
        <v>584</v>
      </c>
      <c r="K230" s="229"/>
    </row>
    <row r="231" spans="1:11" x14ac:dyDescent="0.25">
      <c r="A231" s="27">
        <v>46251</v>
      </c>
      <c r="C231" s="21" t="s">
        <v>140</v>
      </c>
      <c r="D231" s="1" t="s">
        <v>702</v>
      </c>
      <c r="E231" s="1" t="s">
        <v>703</v>
      </c>
      <c r="G231" s="1" t="s">
        <v>4</v>
      </c>
      <c r="K231" s="75"/>
    </row>
    <row r="232" spans="1:11" x14ac:dyDescent="0.25">
      <c r="A232" s="27">
        <v>46253</v>
      </c>
      <c r="B232" s="11">
        <v>0.8125</v>
      </c>
      <c r="C232" s="231" t="s">
        <v>316</v>
      </c>
      <c r="D232" s="231" t="s">
        <v>694</v>
      </c>
      <c r="E232" s="231" t="s">
        <v>695</v>
      </c>
      <c r="F232" s="231" t="s">
        <v>275</v>
      </c>
      <c r="G232" s="231" t="s">
        <v>696</v>
      </c>
      <c r="H232" s="231" t="s">
        <v>11</v>
      </c>
      <c r="I232" s="231">
        <v>100</v>
      </c>
      <c r="J232" s="231"/>
      <c r="K232" s="75"/>
    </row>
    <row r="233" spans="1:11" s="221" customFormat="1" x14ac:dyDescent="0.25">
      <c r="A233" s="18">
        <v>46266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219"/>
    </row>
    <row r="234" spans="1:11" x14ac:dyDescent="0.25">
      <c r="A234" s="27">
        <v>46274</v>
      </c>
      <c r="B234" s="181" t="s">
        <v>682</v>
      </c>
      <c r="C234" s="227" t="s">
        <v>140</v>
      </c>
      <c r="D234" s="227" t="s">
        <v>685</v>
      </c>
      <c r="E234" s="227" t="s">
        <v>496</v>
      </c>
      <c r="F234" s="227" t="s">
        <v>275</v>
      </c>
      <c r="G234" s="227" t="s">
        <v>21</v>
      </c>
      <c r="H234" s="227" t="s">
        <v>690</v>
      </c>
      <c r="I234" s="227"/>
      <c r="J234" s="227"/>
      <c r="K234" s="75"/>
    </row>
    <row r="235" spans="1:11" x14ac:dyDescent="0.25">
      <c r="A235" s="27">
        <v>46287</v>
      </c>
      <c r="B235" s="11">
        <v>0.89583333333333337</v>
      </c>
      <c r="C235" s="238" t="s">
        <v>19</v>
      </c>
      <c r="D235" s="238" t="s">
        <v>732</v>
      </c>
      <c r="E235" s="238" t="s">
        <v>733</v>
      </c>
      <c r="F235" s="238" t="s">
        <v>275</v>
      </c>
      <c r="G235" s="238" t="s">
        <v>4</v>
      </c>
      <c r="H235" s="238" t="s">
        <v>11</v>
      </c>
      <c r="I235" s="238" t="s">
        <v>128</v>
      </c>
      <c r="J235" s="238"/>
      <c r="K235" s="75"/>
    </row>
    <row r="236" spans="1:11" x14ac:dyDescent="0.25">
      <c r="A236" s="27">
        <v>46289</v>
      </c>
      <c r="B236" s="11"/>
      <c r="C236" s="237" t="s">
        <v>140</v>
      </c>
      <c r="D236" s="237" t="s">
        <v>725</v>
      </c>
      <c r="E236" s="237"/>
      <c r="F236" s="237"/>
      <c r="G236" s="237" t="s">
        <v>4</v>
      </c>
      <c r="H236" s="237"/>
      <c r="I236" s="237"/>
      <c r="J236" s="237"/>
      <c r="K236" s="75"/>
    </row>
    <row r="237" spans="1:11" x14ac:dyDescent="0.25">
      <c r="A237" s="27">
        <v>46292</v>
      </c>
      <c r="B237" s="201" t="s">
        <v>113</v>
      </c>
      <c r="C237" s="240" t="s">
        <v>19</v>
      </c>
      <c r="D237" s="240" t="s">
        <v>741</v>
      </c>
      <c r="E237" s="240" t="s">
        <v>742</v>
      </c>
      <c r="F237" s="240"/>
      <c r="G237" s="240" t="s">
        <v>696</v>
      </c>
      <c r="H237" s="240"/>
      <c r="I237" s="240"/>
      <c r="J237" s="240"/>
      <c r="K237" s="75"/>
    </row>
    <row r="238" spans="1:11" x14ac:dyDescent="0.25">
      <c r="A238" s="27">
        <v>46295</v>
      </c>
      <c r="B238" s="181" t="s">
        <v>663</v>
      </c>
      <c r="C238" s="220" t="s">
        <v>19</v>
      </c>
      <c r="D238" s="220" t="s">
        <v>664</v>
      </c>
      <c r="E238" s="220"/>
      <c r="F238" s="220"/>
      <c r="G238" s="220" t="s">
        <v>4</v>
      </c>
      <c r="H238" s="220"/>
      <c r="I238" s="220"/>
      <c r="J238" s="220"/>
      <c r="K238" s="75"/>
    </row>
    <row r="239" spans="1:11" x14ac:dyDescent="0.25">
      <c r="A239" s="61">
        <v>46296</v>
      </c>
      <c r="B239" s="233"/>
      <c r="C239" s="39"/>
      <c r="D239" s="39"/>
      <c r="E239" s="39"/>
      <c r="F239" s="39"/>
      <c r="G239" s="39"/>
      <c r="H239" s="39"/>
      <c r="I239" s="39"/>
      <c r="J239" s="39"/>
      <c r="K239" s="127"/>
    </row>
    <row r="240" spans="1:11" x14ac:dyDescent="0.25">
      <c r="A240" s="27">
        <v>46305</v>
      </c>
      <c r="B240" s="181"/>
      <c r="C240" s="235" t="s">
        <v>140</v>
      </c>
      <c r="D240" s="235" t="s">
        <v>718</v>
      </c>
      <c r="E240" s="235" t="s">
        <v>719</v>
      </c>
      <c r="F240" s="235"/>
      <c r="G240" s="235" t="s">
        <v>4</v>
      </c>
      <c r="H240" s="235"/>
      <c r="I240" s="235"/>
      <c r="J240" s="235"/>
      <c r="K240" s="75"/>
    </row>
    <row r="241" spans="1:11" x14ac:dyDescent="0.25">
      <c r="A241" s="27">
        <v>46309</v>
      </c>
      <c r="B241" s="181"/>
      <c r="C241" s="234" t="s">
        <v>56</v>
      </c>
      <c r="D241" s="234" t="s">
        <v>709</v>
      </c>
      <c r="E241" s="234" t="s">
        <v>710</v>
      </c>
      <c r="F241" s="234" t="s">
        <v>711</v>
      </c>
      <c r="G241" s="234" t="s">
        <v>114</v>
      </c>
      <c r="H241" s="234" t="s">
        <v>106</v>
      </c>
      <c r="I241" s="234">
        <v>300</v>
      </c>
      <c r="J241" s="234"/>
      <c r="K241" s="75"/>
    </row>
    <row r="242" spans="1:11" x14ac:dyDescent="0.25">
      <c r="A242" s="27">
        <v>46315</v>
      </c>
      <c r="B242" s="201" t="s">
        <v>113</v>
      </c>
      <c r="C242" s="239" t="s">
        <v>19</v>
      </c>
      <c r="D242" s="239" t="s">
        <v>741</v>
      </c>
      <c r="E242" s="239" t="s">
        <v>742</v>
      </c>
      <c r="F242" s="239"/>
      <c r="G242" s="239" t="s">
        <v>696</v>
      </c>
      <c r="H242" s="239"/>
      <c r="I242" s="239"/>
      <c r="J242" s="239"/>
      <c r="K242" s="75"/>
    </row>
    <row r="243" spans="1:11" s="228" customFormat="1" x14ac:dyDescent="0.25">
      <c r="A243" s="15">
        <v>46316</v>
      </c>
      <c r="B243" s="202" t="s">
        <v>720</v>
      </c>
      <c r="C243" s="115" t="s">
        <v>140</v>
      </c>
      <c r="D243" s="115" t="s">
        <v>721</v>
      </c>
      <c r="E243" s="115"/>
      <c r="F243" s="115"/>
      <c r="G243" s="115" t="s">
        <v>4</v>
      </c>
      <c r="H243" s="115"/>
      <c r="I243" s="115"/>
      <c r="J243" s="115"/>
      <c r="K243" s="229"/>
    </row>
    <row r="244" spans="1:11" s="228" customFormat="1" x14ac:dyDescent="0.25">
      <c r="A244" s="15">
        <v>46324</v>
      </c>
      <c r="B244" s="201" t="s">
        <v>113</v>
      </c>
      <c r="C244" s="115" t="s">
        <v>140</v>
      </c>
      <c r="D244" s="115" t="s">
        <v>732</v>
      </c>
      <c r="E244" s="115" t="s">
        <v>733</v>
      </c>
      <c r="F244" s="115"/>
      <c r="G244" s="115"/>
      <c r="H244" s="115"/>
      <c r="I244" s="115"/>
      <c r="J244" s="115"/>
      <c r="K244" s="229"/>
    </row>
    <row r="245" spans="1:11" x14ac:dyDescent="0.25">
      <c r="A245" s="18">
        <v>46327</v>
      </c>
      <c r="B245" s="17"/>
      <c r="C245" s="17"/>
      <c r="D245" s="17"/>
      <c r="E245" s="17"/>
      <c r="F245" s="17"/>
      <c r="G245" s="17"/>
      <c r="H245" s="17"/>
      <c r="I245" s="17"/>
      <c r="J245" s="39"/>
      <c r="K245" s="127"/>
    </row>
    <row r="246" spans="1:11" x14ac:dyDescent="0.25">
      <c r="A246" s="27">
        <v>46331</v>
      </c>
      <c r="C246" s="21" t="s">
        <v>744</v>
      </c>
      <c r="D246" s="1" t="s">
        <v>743</v>
      </c>
      <c r="E246" s="1" t="s">
        <v>745</v>
      </c>
      <c r="F246" s="9" t="s">
        <v>737</v>
      </c>
      <c r="G246" s="1" t="s">
        <v>4</v>
      </c>
      <c r="K246" s="75"/>
    </row>
    <row r="247" spans="1:11" x14ac:dyDescent="0.25">
      <c r="A247" s="27">
        <v>46345</v>
      </c>
      <c r="B247" s="11">
        <v>0.85416666666666663</v>
      </c>
      <c r="C247" s="21" t="s">
        <v>140</v>
      </c>
      <c r="D247" s="1" t="s">
        <v>674</v>
      </c>
      <c r="E247" s="1" t="s">
        <v>676</v>
      </c>
      <c r="F247" s="9" t="s">
        <v>275</v>
      </c>
      <c r="G247" s="1" t="s">
        <v>4</v>
      </c>
      <c r="H247" s="1" t="s">
        <v>675</v>
      </c>
      <c r="J247" s="1" t="e">
        <f>+חזרה</f>
        <v>#NAME?</v>
      </c>
      <c r="K247" s="75"/>
    </row>
    <row r="248" spans="1:11" x14ac:dyDescent="0.25">
      <c r="A248" s="27">
        <v>46352</v>
      </c>
      <c r="B248" s="11">
        <v>0.83333333333333337</v>
      </c>
      <c r="C248" s="235" t="s">
        <v>723</v>
      </c>
      <c r="D248" s="235" t="s">
        <v>722</v>
      </c>
      <c r="E248" s="235" t="s">
        <v>724</v>
      </c>
      <c r="F248" s="235" t="s">
        <v>275</v>
      </c>
      <c r="G248" s="235" t="s">
        <v>696</v>
      </c>
      <c r="H248" s="235" t="s">
        <v>11</v>
      </c>
      <c r="I248" s="235">
        <v>360</v>
      </c>
      <c r="J248" s="235"/>
      <c r="K248" s="75"/>
    </row>
    <row r="249" spans="1:11" x14ac:dyDescent="0.25">
      <c r="A249" s="61">
        <v>46357</v>
      </c>
      <c r="B249" s="39"/>
      <c r="C249" s="39"/>
      <c r="D249" s="39"/>
      <c r="E249" s="39"/>
      <c r="F249" s="17"/>
      <c r="G249" s="17"/>
      <c r="H249" s="17"/>
      <c r="I249" s="17"/>
      <c r="J249" s="17"/>
      <c r="K249" s="127"/>
    </row>
    <row r="250" spans="1:11" x14ac:dyDescent="0.25">
      <c r="K250" s="75"/>
    </row>
    <row r="251" spans="1:11" x14ac:dyDescent="0.25">
      <c r="K251" s="75"/>
    </row>
    <row r="252" spans="1:11" x14ac:dyDescent="0.25">
      <c r="A252" s="148">
        <v>2027</v>
      </c>
      <c r="B252" s="177"/>
      <c r="C252" s="177"/>
      <c r="D252" s="177"/>
      <c r="E252" s="177"/>
      <c r="F252" s="177"/>
      <c r="G252" s="177"/>
      <c r="H252" s="177"/>
      <c r="I252" s="177"/>
      <c r="J252" s="177"/>
      <c r="K252" s="75"/>
    </row>
    <row r="253" spans="1:11" x14ac:dyDescent="0.25">
      <c r="A253" s="2" t="s">
        <v>0</v>
      </c>
      <c r="B253" s="2" t="s">
        <v>3</v>
      </c>
      <c r="C253" s="2" t="s">
        <v>18</v>
      </c>
      <c r="D253" s="3" t="s">
        <v>1</v>
      </c>
      <c r="E253" s="4" t="s">
        <v>9</v>
      </c>
      <c r="F253" s="4" t="s">
        <v>5</v>
      </c>
      <c r="G253" s="5" t="s">
        <v>7</v>
      </c>
      <c r="H253" s="6" t="s">
        <v>6</v>
      </c>
      <c r="I253" s="6" t="s">
        <v>8</v>
      </c>
      <c r="J253" s="77" t="s">
        <v>2</v>
      </c>
      <c r="K253" s="75"/>
    </row>
    <row r="254" spans="1:11" x14ac:dyDescent="0.25">
      <c r="A254" s="18">
        <v>46388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75"/>
    </row>
    <row r="255" spans="1:11" x14ac:dyDescent="0.25">
      <c r="A255" s="27">
        <v>46394</v>
      </c>
      <c r="B255" s="11">
        <v>0.875</v>
      </c>
      <c r="C255" s="21" t="s">
        <v>19</v>
      </c>
      <c r="D255" s="1" t="s">
        <v>679</v>
      </c>
      <c r="E255" s="1" t="s">
        <v>680</v>
      </c>
      <c r="F255" s="9" t="s">
        <v>686</v>
      </c>
      <c r="G255" s="1" t="s">
        <v>13</v>
      </c>
      <c r="H255" s="1" t="s">
        <v>11</v>
      </c>
      <c r="I255" s="10">
        <v>380</v>
      </c>
      <c r="J255" s="1" t="s">
        <v>684</v>
      </c>
      <c r="K255" s="75"/>
    </row>
    <row r="256" spans="1:11" x14ac:dyDescent="0.25">
      <c r="A256" s="27">
        <v>46409</v>
      </c>
      <c r="B256" s="11" t="s">
        <v>740</v>
      </c>
      <c r="C256" s="181" t="s">
        <v>712</v>
      </c>
      <c r="D256" s="230" t="s">
        <v>713</v>
      </c>
      <c r="E256" s="230" t="s">
        <v>691</v>
      </c>
      <c r="F256" s="230" t="s">
        <v>275</v>
      </c>
      <c r="G256" s="230" t="s">
        <v>4</v>
      </c>
      <c r="H256" s="230" t="s">
        <v>734</v>
      </c>
      <c r="I256" s="230">
        <v>1800</v>
      </c>
      <c r="J256" s="230" t="s">
        <v>714</v>
      </c>
      <c r="K256" s="75"/>
    </row>
    <row r="257" spans="1:11" x14ac:dyDescent="0.25">
      <c r="A257" s="27">
        <v>46415</v>
      </c>
      <c r="B257" s="11">
        <v>0.91666666666666663</v>
      </c>
      <c r="C257" s="21" t="s">
        <v>20</v>
      </c>
      <c r="D257" s="1" t="s">
        <v>23</v>
      </c>
      <c r="G257" s="1" t="s">
        <v>10</v>
      </c>
      <c r="K257" s="75"/>
    </row>
    <row r="258" spans="1:11" x14ac:dyDescent="0.25">
      <c r="K258" s="75"/>
    </row>
    <row r="259" spans="1:11" x14ac:dyDescent="0.25">
      <c r="K259" s="75"/>
    </row>
    <row r="260" spans="1:11" x14ac:dyDescent="0.25">
      <c r="K260" s="75"/>
    </row>
    <row r="261" spans="1:11" x14ac:dyDescent="0.25">
      <c r="K261" s="75"/>
    </row>
    <row r="262" spans="1:11" x14ac:dyDescent="0.25">
      <c r="K262" s="75"/>
    </row>
    <row r="263" spans="1:11" x14ac:dyDescent="0.25">
      <c r="K263" s="75"/>
    </row>
    <row r="264" spans="1:11" x14ac:dyDescent="0.25">
      <c r="K264" s="75"/>
    </row>
    <row r="265" spans="1:11" x14ac:dyDescent="0.25">
      <c r="K265" s="75"/>
    </row>
    <row r="266" spans="1:11" x14ac:dyDescent="0.25">
      <c r="K266" s="75"/>
    </row>
    <row r="267" spans="1:11" x14ac:dyDescent="0.25">
      <c r="K267" s="75"/>
    </row>
    <row r="268" spans="1:11" x14ac:dyDescent="0.25">
      <c r="K268" s="75"/>
    </row>
    <row r="269" spans="1:11" x14ac:dyDescent="0.25">
      <c r="K269" s="75"/>
    </row>
    <row r="270" spans="1:11" x14ac:dyDescent="0.25">
      <c r="K270" s="75"/>
    </row>
    <row r="271" spans="1:11" x14ac:dyDescent="0.25">
      <c r="K271" s="75"/>
    </row>
    <row r="272" spans="1:11" x14ac:dyDescent="0.25">
      <c r="K272" s="75"/>
    </row>
    <row r="273" spans="11:11" x14ac:dyDescent="0.25">
      <c r="K273" s="75"/>
    </row>
    <row r="274" spans="11:11" x14ac:dyDescent="0.25">
      <c r="K274" s="75"/>
    </row>
    <row r="275" spans="11:11" x14ac:dyDescent="0.25">
      <c r="K275" s="75"/>
    </row>
    <row r="276" spans="11:11" x14ac:dyDescent="0.25">
      <c r="K276" s="75"/>
    </row>
  </sheetData>
  <autoFilter ref="A2:H2">
    <sortState ref="A3:G14">
      <sortCondition ref="A2"/>
    </sortState>
  </autoFilter>
  <mergeCells count="1">
    <mergeCell ref="A1:H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M177"/>
  <sheetViews>
    <sheetView rightToLeft="1" topLeftCell="A157" workbookViewId="0">
      <selection activeCell="D159" sqref="D159"/>
    </sheetView>
  </sheetViews>
  <sheetFormatPr defaultRowHeight="15.75" x14ac:dyDescent="0.25"/>
  <cols>
    <col min="1" max="1" width="12.75" style="59" customWidth="1"/>
    <col min="2" max="2" width="20.375" style="59" customWidth="1"/>
    <col min="3" max="3" width="14.375" style="59" customWidth="1"/>
    <col min="4" max="4" width="49.375" style="59" customWidth="1"/>
    <col min="5" max="5" width="21.875" style="59" customWidth="1"/>
    <col min="6" max="6" width="24.75" style="59" customWidth="1"/>
    <col min="7" max="7" width="10.625" style="59" customWidth="1"/>
    <col min="8" max="8" width="26.625" style="59" customWidth="1"/>
    <col min="9" max="9" width="13.25" style="59" customWidth="1"/>
    <col min="10" max="10" width="32.5" style="59" customWidth="1"/>
    <col min="11" max="12" width="9" style="8"/>
  </cols>
  <sheetData>
    <row r="1" spans="1:10" x14ac:dyDescent="0.25">
      <c r="A1" s="241" t="s">
        <v>100</v>
      </c>
      <c r="B1" s="241"/>
      <c r="C1" s="241"/>
      <c r="D1" s="242"/>
      <c r="E1" s="242"/>
      <c r="F1" s="242"/>
      <c r="G1" s="242"/>
      <c r="H1" s="242"/>
    </row>
    <row r="2" spans="1:10" x14ac:dyDescent="0.25">
      <c r="A2" s="2" t="s">
        <v>0</v>
      </c>
      <c r="B2" s="2" t="s">
        <v>3</v>
      </c>
      <c r="C2" s="2" t="s">
        <v>18</v>
      </c>
      <c r="D2" s="3" t="s">
        <v>1</v>
      </c>
      <c r="E2" s="4" t="s">
        <v>9</v>
      </c>
      <c r="F2" s="4" t="s">
        <v>5</v>
      </c>
      <c r="G2" s="5" t="s">
        <v>7</v>
      </c>
      <c r="H2" s="6" t="s">
        <v>6</v>
      </c>
      <c r="I2" s="6" t="s">
        <v>8</v>
      </c>
      <c r="J2" s="6" t="s">
        <v>2</v>
      </c>
    </row>
    <row r="3" spans="1:10" ht="1.5" hidden="1" customHeight="1" x14ac:dyDescent="0.25">
      <c r="A3" s="30">
        <v>2023</v>
      </c>
      <c r="B3" s="31"/>
      <c r="C3" s="31"/>
      <c r="D3" s="31"/>
      <c r="E3" s="32"/>
      <c r="F3" s="31"/>
      <c r="G3" s="31"/>
      <c r="H3" s="31"/>
      <c r="I3" s="31"/>
      <c r="J3" s="31"/>
    </row>
    <row r="4" spans="1:10" hidden="1" x14ac:dyDescent="0.25">
      <c r="A4" s="18">
        <v>45017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idden="1" x14ac:dyDescent="0.25">
      <c r="A5" s="27">
        <v>45044</v>
      </c>
      <c r="B5" s="11">
        <v>0.5</v>
      </c>
      <c r="C5" s="67" t="s">
        <v>79</v>
      </c>
      <c r="D5" s="1" t="s">
        <v>98</v>
      </c>
      <c r="E5" s="1" t="s">
        <v>99</v>
      </c>
      <c r="F5" s="7"/>
      <c r="G5" s="1"/>
      <c r="H5" s="1"/>
      <c r="I5" s="10"/>
      <c r="J5" s="1"/>
    </row>
    <row r="6" spans="1:10" hidden="1" x14ac:dyDescent="0.25">
      <c r="A6" s="27">
        <v>45045</v>
      </c>
      <c r="B6" s="11">
        <v>0.85416666666666663</v>
      </c>
      <c r="C6" s="59" t="s">
        <v>79</v>
      </c>
      <c r="D6" s="59" t="s">
        <v>64</v>
      </c>
      <c r="E6" s="59" t="s">
        <v>65</v>
      </c>
      <c r="F6" s="53" t="s">
        <v>66</v>
      </c>
      <c r="G6" s="59" t="s">
        <v>21</v>
      </c>
      <c r="H6" s="59" t="s">
        <v>11</v>
      </c>
      <c r="I6" s="59">
        <v>500</v>
      </c>
    </row>
    <row r="7" spans="1:10" hidden="1" x14ac:dyDescent="0.25">
      <c r="A7" s="61">
        <v>45047</v>
      </c>
      <c r="B7" s="39"/>
      <c r="C7" s="39"/>
      <c r="D7" s="39"/>
      <c r="E7" s="39"/>
      <c r="F7" s="39"/>
      <c r="G7" s="39"/>
      <c r="H7" s="39"/>
      <c r="I7" s="39"/>
      <c r="J7" s="39"/>
    </row>
    <row r="8" spans="1:10" ht="0.75" hidden="1" customHeight="1" x14ac:dyDescent="0.25">
      <c r="A8" s="27">
        <v>45069</v>
      </c>
      <c r="B8" s="11">
        <v>0.89583333333333337</v>
      </c>
      <c r="C8" s="63" t="s">
        <v>79</v>
      </c>
      <c r="D8" s="58" t="s">
        <v>80</v>
      </c>
      <c r="E8" s="58" t="s">
        <v>16</v>
      </c>
      <c r="F8" s="58"/>
      <c r="G8" s="58" t="s">
        <v>10</v>
      </c>
      <c r="H8" s="58"/>
      <c r="I8" s="58"/>
      <c r="J8" s="58"/>
    </row>
    <row r="9" spans="1:10" hidden="1" x14ac:dyDescent="0.25">
      <c r="A9" s="61">
        <v>45078</v>
      </c>
      <c r="B9" s="39"/>
      <c r="C9" s="39"/>
      <c r="D9" s="39"/>
      <c r="E9" s="39"/>
      <c r="F9" s="39"/>
      <c r="G9" s="39"/>
      <c r="H9" s="39"/>
      <c r="I9" s="39"/>
      <c r="J9" s="39"/>
    </row>
    <row r="10" spans="1:10" hidden="1" x14ac:dyDescent="0.25">
      <c r="A10" s="27"/>
      <c r="B10" s="63"/>
      <c r="C10" s="63"/>
      <c r="D10" s="63"/>
      <c r="E10" s="63"/>
      <c r="F10" s="63"/>
      <c r="G10" s="63"/>
      <c r="H10" s="63"/>
      <c r="I10" s="63"/>
      <c r="J10" s="63"/>
    </row>
    <row r="11" spans="1:10" s="8" customFormat="1" hidden="1" x14ac:dyDescent="0.25">
      <c r="A11" s="15">
        <v>45091</v>
      </c>
      <c r="B11" s="14"/>
      <c r="C11" s="63" t="s">
        <v>79</v>
      </c>
      <c r="D11" s="24" t="s">
        <v>81</v>
      </c>
      <c r="E11" s="58" t="s">
        <v>16</v>
      </c>
      <c r="F11" s="7"/>
      <c r="G11" s="58" t="s">
        <v>10</v>
      </c>
      <c r="H11" s="7"/>
      <c r="I11" s="7"/>
      <c r="J11" s="7"/>
    </row>
    <row r="12" spans="1:10" hidden="1" x14ac:dyDescent="0.25">
      <c r="A12" s="27">
        <v>45097</v>
      </c>
      <c r="B12" s="26"/>
      <c r="C12" s="7" t="s">
        <v>82</v>
      </c>
      <c r="D12" s="7" t="s">
        <v>83</v>
      </c>
      <c r="E12" s="58" t="s">
        <v>16</v>
      </c>
      <c r="F12" s="7"/>
      <c r="G12" s="58" t="s">
        <v>10</v>
      </c>
      <c r="H12" s="58"/>
      <c r="I12" s="58"/>
      <c r="J12" s="58"/>
    </row>
    <row r="13" spans="1:10" s="8" customFormat="1" hidden="1" x14ac:dyDescent="0.25">
      <c r="A13" s="15">
        <v>45099</v>
      </c>
      <c r="B13" s="14"/>
      <c r="C13" s="63" t="s">
        <v>79</v>
      </c>
      <c r="D13" s="24" t="s">
        <v>84</v>
      </c>
      <c r="E13" s="58" t="s">
        <v>16</v>
      </c>
      <c r="F13" s="7"/>
      <c r="G13" s="58" t="s">
        <v>10</v>
      </c>
      <c r="H13" s="7"/>
      <c r="I13" s="7"/>
      <c r="J13" s="7"/>
    </row>
    <row r="14" spans="1:10" s="8" customFormat="1" hidden="1" x14ac:dyDescent="0.25">
      <c r="A14" s="61">
        <v>45108</v>
      </c>
      <c r="B14" s="73"/>
      <c r="C14" s="39"/>
      <c r="D14" s="74"/>
      <c r="E14" s="39"/>
      <c r="F14" s="39"/>
      <c r="G14" s="39"/>
      <c r="H14" s="39"/>
      <c r="I14" s="39"/>
      <c r="J14" s="39"/>
    </row>
    <row r="15" spans="1:10" s="8" customFormat="1" hidden="1" x14ac:dyDescent="0.25">
      <c r="A15" s="15"/>
      <c r="B15" s="14"/>
      <c r="C15" s="72"/>
      <c r="D15" s="24"/>
      <c r="E15" s="72"/>
      <c r="F15" s="7"/>
      <c r="G15" s="72"/>
      <c r="H15" s="7"/>
      <c r="I15" s="7"/>
      <c r="J15" s="7"/>
    </row>
    <row r="16" spans="1:10" s="8" customFormat="1" hidden="1" x14ac:dyDescent="0.25">
      <c r="A16" s="18">
        <v>45139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1" s="8" customFormat="1" hidden="1" x14ac:dyDescent="0.25">
      <c r="A17" s="15">
        <v>45141</v>
      </c>
      <c r="B17" s="7"/>
      <c r="C17" s="64" t="s">
        <v>79</v>
      </c>
      <c r="D17" s="7" t="s">
        <v>96</v>
      </c>
      <c r="E17" s="64" t="s">
        <v>16</v>
      </c>
      <c r="F17" s="7"/>
      <c r="G17" s="64" t="s">
        <v>10</v>
      </c>
      <c r="H17" s="7"/>
      <c r="I17" s="7"/>
      <c r="J17" s="7"/>
    </row>
    <row r="18" spans="1:11" hidden="1" x14ac:dyDescent="0.25">
      <c r="A18" s="27">
        <v>45155</v>
      </c>
      <c r="B18" s="14"/>
      <c r="C18" s="59" t="s">
        <v>79</v>
      </c>
      <c r="D18" s="7" t="s">
        <v>85</v>
      </c>
      <c r="E18" s="59" t="s">
        <v>16</v>
      </c>
      <c r="G18" s="59" t="s">
        <v>10</v>
      </c>
    </row>
    <row r="19" spans="1:11" hidden="1" x14ac:dyDescent="0.25">
      <c r="A19" s="27">
        <v>45161</v>
      </c>
      <c r="B19" s="11">
        <v>0.79166666666666663</v>
      </c>
      <c r="C19" s="71" t="s">
        <v>79</v>
      </c>
      <c r="D19" s="59" t="s">
        <v>117</v>
      </c>
      <c r="E19" s="59" t="s">
        <v>132</v>
      </c>
      <c r="F19" s="85" t="s">
        <v>131</v>
      </c>
      <c r="G19" s="59" t="s">
        <v>21</v>
      </c>
      <c r="H19" s="59" t="s">
        <v>119</v>
      </c>
      <c r="I19" s="59" t="s">
        <v>118</v>
      </c>
    </row>
    <row r="20" spans="1:11" hidden="1" x14ac:dyDescent="0.25">
      <c r="A20" s="61">
        <v>45170</v>
      </c>
      <c r="B20" s="39"/>
      <c r="C20" s="39"/>
      <c r="D20" s="39"/>
      <c r="E20" s="39"/>
      <c r="F20" s="39"/>
      <c r="G20" s="39"/>
      <c r="H20" s="39"/>
      <c r="I20" s="39"/>
      <c r="J20" s="39"/>
    </row>
    <row r="21" spans="1:11" s="8" customFormat="1" hidden="1" x14ac:dyDescent="0.25">
      <c r="A21" s="15">
        <v>45171</v>
      </c>
      <c r="B21" s="7"/>
      <c r="C21" s="7" t="s">
        <v>82</v>
      </c>
      <c r="D21" s="7" t="s">
        <v>147</v>
      </c>
      <c r="E21" s="7" t="s">
        <v>156</v>
      </c>
      <c r="F21" s="7" t="s">
        <v>155</v>
      </c>
      <c r="G21" s="7" t="s">
        <v>21</v>
      </c>
      <c r="H21" s="7"/>
      <c r="I21" s="7"/>
      <c r="J21" s="79"/>
    </row>
    <row r="22" spans="1:11" s="8" customFormat="1" hidden="1" x14ac:dyDescent="0.25">
      <c r="A22" s="15">
        <v>45173</v>
      </c>
      <c r="B22" s="26">
        <v>0.83333333333333337</v>
      </c>
      <c r="C22" s="7" t="s">
        <v>82</v>
      </c>
      <c r="D22" s="7" t="s">
        <v>148</v>
      </c>
      <c r="E22" s="7" t="s">
        <v>168</v>
      </c>
      <c r="F22" s="7" t="s">
        <v>172</v>
      </c>
      <c r="G22" s="7" t="s">
        <v>21</v>
      </c>
      <c r="H22" s="7" t="s">
        <v>157</v>
      </c>
      <c r="I22" s="7" t="s">
        <v>149</v>
      </c>
      <c r="J22" s="79" t="s">
        <v>150</v>
      </c>
      <c r="K22" s="8" t="s">
        <v>151</v>
      </c>
    </row>
    <row r="23" spans="1:11" hidden="1" x14ac:dyDescent="0.25">
      <c r="A23" s="27">
        <v>45197</v>
      </c>
      <c r="B23" s="26">
        <v>0.875</v>
      </c>
      <c r="C23" s="76" t="s">
        <v>79</v>
      </c>
      <c r="D23" s="1" t="s">
        <v>50</v>
      </c>
      <c r="E23" s="66" t="s">
        <v>16</v>
      </c>
      <c r="F23" s="9"/>
      <c r="G23" s="1" t="s">
        <v>10</v>
      </c>
      <c r="H23" s="1"/>
      <c r="I23" s="10"/>
      <c r="J23" s="80" t="s">
        <v>95</v>
      </c>
      <c r="K23" s="75"/>
    </row>
    <row r="24" spans="1:11" hidden="1" x14ac:dyDescent="0.25"/>
    <row r="25" spans="1:11" hidden="1" x14ac:dyDescent="0.25"/>
    <row r="26" spans="1:11" hidden="1" x14ac:dyDescent="0.25">
      <c r="A26" s="61">
        <v>45200</v>
      </c>
      <c r="B26" s="39"/>
      <c r="C26" s="39"/>
      <c r="D26" s="39"/>
      <c r="E26" s="39"/>
      <c r="F26" s="39"/>
      <c r="G26" s="39"/>
      <c r="H26" s="39"/>
      <c r="I26" s="39"/>
      <c r="J26" s="39"/>
    </row>
    <row r="27" spans="1:11" s="8" customFormat="1" hidden="1" x14ac:dyDescent="0.25">
      <c r="A27" s="15">
        <v>45202</v>
      </c>
      <c r="B27" s="26">
        <v>0.85416666666666663</v>
      </c>
      <c r="C27" s="7" t="str">
        <f>$C$28</f>
        <v>שר בני</v>
      </c>
      <c r="D27" s="7" t="s">
        <v>136</v>
      </c>
      <c r="E27" s="7" t="s">
        <v>47</v>
      </c>
      <c r="F27" s="7" t="s">
        <v>57</v>
      </c>
      <c r="G27" s="7" t="s">
        <v>22</v>
      </c>
      <c r="H27" s="87" t="s">
        <v>11</v>
      </c>
      <c r="I27" s="7">
        <v>500</v>
      </c>
      <c r="J27" s="79"/>
      <c r="K27" s="75" t="s">
        <v>130</v>
      </c>
    </row>
    <row r="28" spans="1:11" s="8" customFormat="1" hidden="1" x14ac:dyDescent="0.25">
      <c r="A28" s="15">
        <v>45203</v>
      </c>
      <c r="B28" s="26">
        <v>0.85416666666666663</v>
      </c>
      <c r="C28" s="7" t="s">
        <v>82</v>
      </c>
      <c r="D28" s="7" t="s">
        <v>137</v>
      </c>
      <c r="E28" s="7" t="s">
        <v>174</v>
      </c>
      <c r="F28" s="7" t="s">
        <v>57</v>
      </c>
      <c r="G28" s="7" t="s">
        <v>4</v>
      </c>
      <c r="H28" s="7"/>
      <c r="I28" s="7"/>
      <c r="J28" s="79" t="s">
        <v>138</v>
      </c>
      <c r="K28" s="8" t="s">
        <v>130</v>
      </c>
    </row>
    <row r="29" spans="1:11" hidden="1" x14ac:dyDescent="0.25">
      <c r="A29" s="27">
        <v>45225</v>
      </c>
      <c r="B29" s="26">
        <v>0.875</v>
      </c>
      <c r="C29" s="59" t="e">
        <f>#REF!</f>
        <v>#REF!</v>
      </c>
      <c r="D29" s="59" t="s">
        <v>139</v>
      </c>
      <c r="E29" s="59" t="s">
        <v>144</v>
      </c>
      <c r="F29" s="59" t="s">
        <v>145</v>
      </c>
      <c r="G29" s="59" t="s">
        <v>21</v>
      </c>
      <c r="H29" s="59" t="s">
        <v>11</v>
      </c>
      <c r="J29" s="59" t="s">
        <v>146</v>
      </c>
    </row>
    <row r="30" spans="1:11" hidden="1" x14ac:dyDescent="0.25">
      <c r="A30" s="27">
        <v>45226</v>
      </c>
      <c r="B30" s="11">
        <v>0.54166666666666663</v>
      </c>
      <c r="C30" s="59" t="s">
        <v>82</v>
      </c>
      <c r="D30" s="59" t="s">
        <v>169</v>
      </c>
      <c r="E30" s="59" t="s">
        <v>170</v>
      </c>
      <c r="G30" s="59" t="s">
        <v>4</v>
      </c>
    </row>
    <row r="31" spans="1:11" hidden="1" x14ac:dyDescent="0.25">
      <c r="A31" s="61">
        <v>45231</v>
      </c>
      <c r="B31" s="39"/>
      <c r="C31" s="39"/>
      <c r="D31" s="39"/>
      <c r="E31" s="39"/>
      <c r="F31" s="39"/>
      <c r="G31" s="39"/>
      <c r="H31" s="39"/>
      <c r="I31" s="39"/>
      <c r="J31" s="39"/>
    </row>
    <row r="32" spans="1:11" hidden="1" x14ac:dyDescent="0.25">
      <c r="A32" s="27">
        <v>45260</v>
      </c>
      <c r="B32" s="26">
        <v>0.875</v>
      </c>
      <c r="C32" s="59" t="e">
        <f>C29</f>
        <v>#REF!</v>
      </c>
      <c r="D32" s="59" t="s">
        <v>176</v>
      </c>
      <c r="E32" s="59" t="s">
        <v>16</v>
      </c>
      <c r="F32" s="59" t="s">
        <v>66</v>
      </c>
      <c r="G32" s="59" t="s">
        <v>10</v>
      </c>
      <c r="H32" s="59" t="s">
        <v>75</v>
      </c>
      <c r="I32" s="59" t="s">
        <v>177</v>
      </c>
    </row>
    <row r="33" spans="1:11" hidden="1" x14ac:dyDescent="0.25"/>
    <row r="34" spans="1:11" hidden="1" x14ac:dyDescent="0.25"/>
    <row r="35" spans="1:11" hidden="1" x14ac:dyDescent="0.25">
      <c r="A35" s="61">
        <v>45261</v>
      </c>
      <c r="B35" s="39"/>
      <c r="C35" s="39"/>
      <c r="D35" s="39"/>
      <c r="E35" s="39"/>
      <c r="F35" s="39"/>
      <c r="G35" s="39"/>
      <c r="H35" s="39"/>
      <c r="I35" s="39"/>
      <c r="J35" s="39"/>
    </row>
    <row r="36" spans="1:11" hidden="1" x14ac:dyDescent="0.25"/>
    <row r="37" spans="1:11" hidden="1" x14ac:dyDescent="0.25"/>
    <row r="38" spans="1:11" hidden="1" x14ac:dyDescent="0.25"/>
    <row r="39" spans="1:11" hidden="1" x14ac:dyDescent="0.25">
      <c r="A39" s="90">
        <v>2024</v>
      </c>
      <c r="B39" s="68"/>
      <c r="C39" s="68"/>
      <c r="D39" s="68"/>
      <c r="E39" s="68"/>
      <c r="F39" s="68"/>
      <c r="G39" s="89"/>
      <c r="H39" s="89"/>
      <c r="I39" s="89"/>
      <c r="J39" s="89"/>
    </row>
    <row r="40" spans="1:11" ht="1.5" hidden="1" customHeight="1" x14ac:dyDescent="0.25">
      <c r="A40" s="18">
        <v>45292</v>
      </c>
      <c r="B40" s="17"/>
      <c r="C40" s="17"/>
      <c r="D40" s="17"/>
      <c r="E40" s="17"/>
      <c r="F40" s="17"/>
      <c r="G40" s="17"/>
      <c r="H40" s="17"/>
      <c r="I40" s="17"/>
      <c r="J40" s="17"/>
    </row>
    <row r="41" spans="1:11" hidden="1" x14ac:dyDescent="0.25">
      <c r="A41" s="27">
        <v>45318</v>
      </c>
      <c r="B41" s="11">
        <v>0.85416666666666663</v>
      </c>
      <c r="C41" s="21" t="s">
        <v>82</v>
      </c>
      <c r="D41" s="1" t="s">
        <v>216</v>
      </c>
      <c r="E41" s="1" t="s">
        <v>201</v>
      </c>
      <c r="F41" s="9"/>
      <c r="G41" s="1" t="s">
        <v>10</v>
      </c>
      <c r="H41" s="1"/>
      <c r="I41" s="10"/>
      <c r="J41" s="80"/>
      <c r="K41" s="93"/>
    </row>
    <row r="42" spans="1:11" hidden="1" x14ac:dyDescent="0.25">
      <c r="A42" s="27"/>
      <c r="B42" s="106"/>
      <c r="C42" s="106"/>
      <c r="D42" s="106"/>
      <c r="E42" s="106"/>
      <c r="F42" s="106"/>
      <c r="G42" s="106"/>
      <c r="H42" s="106"/>
      <c r="I42" s="106"/>
      <c r="J42" s="80"/>
      <c r="K42" s="93"/>
    </row>
    <row r="43" spans="1:11" hidden="1" x14ac:dyDescent="0.25">
      <c r="A43" s="61">
        <v>45323</v>
      </c>
      <c r="B43" s="39"/>
      <c r="C43" s="39"/>
      <c r="D43" s="39"/>
      <c r="E43" s="39"/>
      <c r="F43" s="39"/>
      <c r="G43" s="39"/>
      <c r="H43" s="39"/>
      <c r="I43" s="39"/>
      <c r="J43" s="39"/>
    </row>
    <row r="44" spans="1:11" hidden="1" x14ac:dyDescent="0.25">
      <c r="A44" s="27">
        <v>45345</v>
      </c>
      <c r="B44" s="11">
        <v>0.52083333333333337</v>
      </c>
      <c r="C44" s="21"/>
      <c r="D44" s="1" t="s">
        <v>228</v>
      </c>
      <c r="E44" s="41" t="s">
        <v>55</v>
      </c>
      <c r="F44" s="9"/>
      <c r="G44" s="1" t="s">
        <v>4</v>
      </c>
      <c r="H44" s="1" t="s">
        <v>75</v>
      </c>
      <c r="I44" s="10" t="s">
        <v>232</v>
      </c>
      <c r="J44" s="80"/>
      <c r="K44" s="75"/>
    </row>
    <row r="45" spans="1:11" hidden="1" x14ac:dyDescent="0.25">
      <c r="A45" s="27">
        <v>45351</v>
      </c>
      <c r="B45" s="11">
        <v>0.85416666666666663</v>
      </c>
      <c r="C45" s="108" t="s">
        <v>82</v>
      </c>
      <c r="D45" s="108" t="s">
        <v>226</v>
      </c>
      <c r="E45" s="108" t="s">
        <v>227</v>
      </c>
      <c r="F45" s="108" t="s">
        <v>236</v>
      </c>
      <c r="G45" s="108" t="s">
        <v>21</v>
      </c>
      <c r="H45" s="108" t="s">
        <v>237</v>
      </c>
      <c r="I45" s="108"/>
      <c r="J45" s="108"/>
    </row>
    <row r="46" spans="1:11" hidden="1" x14ac:dyDescent="0.25">
      <c r="A46" s="61">
        <v>45352</v>
      </c>
      <c r="B46" s="39"/>
      <c r="C46" s="39"/>
      <c r="D46" s="39"/>
      <c r="E46" s="39"/>
      <c r="F46" s="39"/>
      <c r="G46" s="39"/>
      <c r="H46" s="39"/>
      <c r="I46" s="39"/>
      <c r="J46" s="39"/>
    </row>
    <row r="47" spans="1:11" hidden="1" x14ac:dyDescent="0.25"/>
    <row r="48" spans="1:11" hidden="1" x14ac:dyDescent="0.25">
      <c r="A48" s="27">
        <v>45379</v>
      </c>
      <c r="B48" s="26">
        <v>0.875</v>
      </c>
      <c r="C48" s="59" t="s">
        <v>82</v>
      </c>
      <c r="D48" s="112" t="s">
        <v>234</v>
      </c>
      <c r="E48" s="110" t="s">
        <v>233</v>
      </c>
      <c r="F48" s="59" t="s">
        <v>250</v>
      </c>
      <c r="G48" s="59" t="s">
        <v>4</v>
      </c>
      <c r="H48" s="59" t="s">
        <v>58</v>
      </c>
      <c r="I48" s="59" t="s">
        <v>235</v>
      </c>
    </row>
    <row r="49" spans="1:11" hidden="1" x14ac:dyDescent="0.25">
      <c r="A49" s="61">
        <v>45383</v>
      </c>
      <c r="B49" s="39"/>
      <c r="C49" s="39"/>
      <c r="D49" s="39"/>
      <c r="E49" s="111"/>
      <c r="F49" s="39"/>
      <c r="G49" s="39"/>
      <c r="H49" s="39"/>
      <c r="I49" s="39"/>
      <c r="J49" s="39"/>
    </row>
    <row r="50" spans="1:11" s="8" customFormat="1" hidden="1" x14ac:dyDescent="0.25">
      <c r="A50" s="15">
        <v>45393</v>
      </c>
      <c r="B50" s="7"/>
      <c r="C50" s="7" t="s">
        <v>82</v>
      </c>
      <c r="D50" s="7" t="s">
        <v>272</v>
      </c>
      <c r="E50" s="114" t="s">
        <v>16</v>
      </c>
      <c r="F50" s="7"/>
      <c r="G50" s="7" t="s">
        <v>10</v>
      </c>
      <c r="H50" s="7" t="s">
        <v>75</v>
      </c>
      <c r="I50" s="7"/>
      <c r="J50" s="7"/>
    </row>
    <row r="51" spans="1:11" hidden="1" x14ac:dyDescent="0.25">
      <c r="A51" s="27">
        <v>45397</v>
      </c>
      <c r="B51" s="11">
        <v>0.85416666666666663</v>
      </c>
      <c r="C51" s="113" t="s">
        <v>82</v>
      </c>
      <c r="D51" s="113" t="s">
        <v>239</v>
      </c>
      <c r="E51" s="113" t="s">
        <v>240</v>
      </c>
      <c r="F51" s="113" t="s">
        <v>253</v>
      </c>
      <c r="G51" s="113" t="s">
        <v>114</v>
      </c>
      <c r="H51" s="113" t="s">
        <v>11</v>
      </c>
      <c r="I51" s="113" t="s">
        <v>128</v>
      </c>
      <c r="J51" s="113" t="s">
        <v>254</v>
      </c>
      <c r="K51" s="8" t="s">
        <v>162</v>
      </c>
    </row>
    <row r="52" spans="1:11" hidden="1" x14ac:dyDescent="0.25">
      <c r="A52" s="27">
        <v>45400</v>
      </c>
      <c r="B52" s="11"/>
      <c r="C52" s="108" t="s">
        <v>82</v>
      </c>
      <c r="D52" s="108" t="s">
        <v>222</v>
      </c>
      <c r="E52" s="114" t="s">
        <v>16</v>
      </c>
      <c r="F52" s="108" t="s">
        <v>66</v>
      </c>
      <c r="G52" s="108" t="s">
        <v>4</v>
      </c>
      <c r="H52" s="108" t="s">
        <v>75</v>
      </c>
      <c r="I52" s="108"/>
      <c r="J52" s="108"/>
    </row>
    <row r="53" spans="1:11" hidden="1" x14ac:dyDescent="0.25">
      <c r="A53" s="27">
        <v>45409</v>
      </c>
      <c r="B53" s="7"/>
      <c r="C53" s="59" t="s">
        <v>82</v>
      </c>
      <c r="D53" s="59" t="s">
        <v>259</v>
      </c>
      <c r="E53" s="109" t="s">
        <v>229</v>
      </c>
      <c r="G53" s="59" t="s">
        <v>4</v>
      </c>
    </row>
    <row r="54" spans="1:11" ht="2.25" hidden="1" customHeight="1" x14ac:dyDescent="0.25">
      <c r="A54" s="61">
        <v>45413</v>
      </c>
      <c r="B54" s="39"/>
      <c r="C54" s="39"/>
      <c r="D54" s="39"/>
      <c r="E54" s="39"/>
      <c r="F54" s="39"/>
      <c r="G54" s="39"/>
      <c r="H54" s="39"/>
      <c r="I54" s="107"/>
      <c r="J54" s="107"/>
    </row>
    <row r="55" spans="1:11" s="117" customFormat="1" hidden="1" x14ac:dyDescent="0.25">
      <c r="A55" s="124">
        <v>45421</v>
      </c>
      <c r="B55" s="26">
        <v>0.875</v>
      </c>
      <c r="C55" s="125" t="s">
        <v>302</v>
      </c>
      <c r="D55" s="115" t="s">
        <v>283</v>
      </c>
      <c r="E55" s="115" t="s">
        <v>284</v>
      </c>
      <c r="F55" s="115" t="s">
        <v>268</v>
      </c>
      <c r="G55" s="115" t="s">
        <v>114</v>
      </c>
      <c r="H55" s="115" t="s">
        <v>11</v>
      </c>
      <c r="I55" s="115" t="s">
        <v>165</v>
      </c>
      <c r="J55" s="115" t="s">
        <v>285</v>
      </c>
      <c r="K55" s="117" t="s">
        <v>286</v>
      </c>
    </row>
    <row r="56" spans="1:11" ht="15" hidden="1" customHeight="1" x14ac:dyDescent="0.25">
      <c r="A56" s="124">
        <v>45428</v>
      </c>
      <c r="B56" s="11">
        <v>0.86458333333333337</v>
      </c>
      <c r="C56" s="125" t="s">
        <v>359</v>
      </c>
      <c r="D56" s="59" t="s">
        <v>269</v>
      </c>
      <c r="E56" s="59" t="s">
        <v>278</v>
      </c>
      <c r="F56" s="59" t="s">
        <v>279</v>
      </c>
      <c r="G56" s="59" t="s">
        <v>114</v>
      </c>
      <c r="H56" s="59" t="s">
        <v>119</v>
      </c>
      <c r="I56" s="59" t="s">
        <v>213</v>
      </c>
      <c r="J56" s="59" t="s">
        <v>270</v>
      </c>
      <c r="K56" s="8" t="s">
        <v>280</v>
      </c>
    </row>
    <row r="57" spans="1:11" hidden="1" x14ac:dyDescent="0.25">
      <c r="A57" s="61">
        <v>45444</v>
      </c>
      <c r="B57" s="39"/>
      <c r="C57" s="39"/>
      <c r="D57" s="39"/>
      <c r="E57" s="39"/>
      <c r="F57" s="39"/>
      <c r="G57" s="39"/>
      <c r="H57" s="39"/>
      <c r="I57" s="107"/>
      <c r="J57" s="107"/>
    </row>
    <row r="58" spans="1:11" hidden="1" x14ac:dyDescent="0.25">
      <c r="A58" s="27">
        <v>45449</v>
      </c>
      <c r="B58" s="11">
        <v>0.85416666666666663</v>
      </c>
      <c r="C58" s="59" t="s">
        <v>82</v>
      </c>
      <c r="D58" s="59" t="s">
        <v>298</v>
      </c>
      <c r="E58" s="59" t="s">
        <v>301</v>
      </c>
      <c r="F58" s="59" t="s">
        <v>299</v>
      </c>
      <c r="G58" s="59" t="s">
        <v>10</v>
      </c>
      <c r="H58" s="59" t="s">
        <v>75</v>
      </c>
      <c r="I58" s="59">
        <v>380</v>
      </c>
      <c r="J58" s="59" t="s">
        <v>300</v>
      </c>
    </row>
    <row r="59" spans="1:11" hidden="1" x14ac:dyDescent="0.25">
      <c r="A59" s="27">
        <v>45471</v>
      </c>
      <c r="B59" s="11">
        <v>0.39583333333333331</v>
      </c>
      <c r="C59" s="26" t="s">
        <v>82</v>
      </c>
      <c r="D59" s="59" t="s">
        <v>310</v>
      </c>
      <c r="E59" s="59" t="s">
        <v>311</v>
      </c>
      <c r="F59" s="59" t="s">
        <v>312</v>
      </c>
      <c r="G59" s="59" t="s">
        <v>114</v>
      </c>
      <c r="H59" s="59" t="s">
        <v>75</v>
      </c>
      <c r="I59" s="59" t="s">
        <v>121</v>
      </c>
      <c r="J59" s="59" t="s">
        <v>313</v>
      </c>
      <c r="K59" s="8" t="s">
        <v>314</v>
      </c>
    </row>
    <row r="60" spans="1:11" hidden="1" x14ac:dyDescent="0.25">
      <c r="A60" s="61">
        <v>45474</v>
      </c>
      <c r="B60" s="39"/>
      <c r="C60" s="39"/>
      <c r="D60" s="39"/>
      <c r="E60" s="39"/>
      <c r="F60" s="39"/>
      <c r="G60" s="39"/>
      <c r="H60" s="39"/>
      <c r="I60" s="39"/>
      <c r="J60" s="39"/>
    </row>
    <row r="61" spans="1:11" hidden="1" x14ac:dyDescent="0.25">
      <c r="A61" s="27">
        <v>45474</v>
      </c>
      <c r="B61" s="11">
        <v>0.85416666666666663</v>
      </c>
      <c r="C61" s="59" t="s">
        <v>82</v>
      </c>
      <c r="D61" s="59" t="s">
        <v>224</v>
      </c>
      <c r="E61" s="41" t="s">
        <v>241</v>
      </c>
      <c r="F61" s="59" t="s">
        <v>242</v>
      </c>
      <c r="G61" s="59" t="s">
        <v>4</v>
      </c>
      <c r="H61" s="59" t="s">
        <v>11</v>
      </c>
      <c r="I61" s="59" t="s">
        <v>238</v>
      </c>
    </row>
    <row r="62" spans="1:11" hidden="1" x14ac:dyDescent="0.25">
      <c r="A62" s="27">
        <v>45477</v>
      </c>
      <c r="B62" s="11">
        <v>0.875</v>
      </c>
      <c r="C62" s="59" t="s">
        <v>82</v>
      </c>
      <c r="D62" s="59" t="s">
        <v>225</v>
      </c>
      <c r="E62" s="59" t="s">
        <v>16</v>
      </c>
      <c r="F62" s="59" t="s">
        <v>319</v>
      </c>
      <c r="G62" s="59" t="s">
        <v>4</v>
      </c>
      <c r="H62" s="59" t="s">
        <v>58</v>
      </c>
      <c r="I62" s="59" t="s">
        <v>317</v>
      </c>
    </row>
    <row r="63" spans="1:11" hidden="1" x14ac:dyDescent="0.25">
      <c r="A63" s="27">
        <v>45491</v>
      </c>
      <c r="B63" s="59" t="s">
        <v>195</v>
      </c>
      <c r="C63" s="59" t="s">
        <v>82</v>
      </c>
      <c r="D63" s="59" t="s">
        <v>260</v>
      </c>
      <c r="E63" s="59" t="s">
        <v>261</v>
      </c>
      <c r="F63" s="59" t="s">
        <v>320</v>
      </c>
      <c r="G63" s="59" t="s">
        <v>4</v>
      </c>
      <c r="H63" s="59" t="s">
        <v>11</v>
      </c>
      <c r="I63" s="59" t="s">
        <v>262</v>
      </c>
      <c r="J63" s="59" t="s">
        <v>263</v>
      </c>
      <c r="K63" s="8" t="s">
        <v>264</v>
      </c>
    </row>
    <row r="64" spans="1:11" ht="2.25" hidden="1" customHeight="1" x14ac:dyDescent="0.25">
      <c r="A64" s="61">
        <v>45505</v>
      </c>
      <c r="B64" s="39"/>
      <c r="C64" s="39"/>
      <c r="D64" s="39"/>
      <c r="E64" s="39"/>
      <c r="F64" s="39"/>
      <c r="G64" s="39"/>
      <c r="H64" s="39"/>
      <c r="I64" s="39"/>
      <c r="J64" s="39"/>
    </row>
    <row r="65" spans="1:11" hidden="1" x14ac:dyDescent="0.25">
      <c r="A65" s="27">
        <v>45526</v>
      </c>
      <c r="B65" s="7"/>
      <c r="C65" s="7" t="s">
        <v>82</v>
      </c>
      <c r="D65" s="59" t="s">
        <v>356</v>
      </c>
      <c r="E65" s="59" t="s">
        <v>47</v>
      </c>
      <c r="F65" s="59" t="s">
        <v>357</v>
      </c>
      <c r="G65" s="123" t="s">
        <v>22</v>
      </c>
      <c r="I65" s="59" t="s">
        <v>358</v>
      </c>
    </row>
    <row r="66" spans="1:11" hidden="1" x14ac:dyDescent="0.25">
      <c r="A66" s="27"/>
      <c r="B66" s="123"/>
      <c r="C66" s="7"/>
      <c r="D66" s="123"/>
      <c r="E66" s="123"/>
      <c r="F66" s="123"/>
      <c r="G66" s="123"/>
      <c r="H66" s="123"/>
      <c r="I66" s="123"/>
      <c r="J66" s="123"/>
    </row>
    <row r="67" spans="1:11" ht="1.5" hidden="1" customHeight="1" x14ac:dyDescent="0.25">
      <c r="A67" s="61">
        <v>45536</v>
      </c>
      <c r="B67" s="39"/>
      <c r="C67" s="39"/>
      <c r="D67" s="39"/>
      <c r="E67" s="39"/>
      <c r="F67" s="39"/>
      <c r="G67" s="39"/>
      <c r="H67" s="39"/>
      <c r="I67" s="39"/>
      <c r="J67" s="39"/>
    </row>
    <row r="68" spans="1:11" s="126" customFormat="1" hidden="1" x14ac:dyDescent="0.25">
      <c r="A68" s="15">
        <v>45540</v>
      </c>
      <c r="B68" s="115"/>
      <c r="C68" s="151" t="s">
        <v>360</v>
      </c>
      <c r="D68" s="115" t="s">
        <v>84</v>
      </c>
      <c r="E68" s="115" t="str">
        <f>$E$62</f>
        <v>פרטים מול אסף</v>
      </c>
      <c r="F68" s="115"/>
      <c r="G68" s="115" t="s">
        <v>10</v>
      </c>
      <c r="H68" s="115"/>
      <c r="I68" s="115"/>
      <c r="J68" s="115"/>
    </row>
    <row r="69" spans="1:11" s="126" customFormat="1" hidden="1" x14ac:dyDescent="0.25">
      <c r="A69" s="141">
        <v>45541</v>
      </c>
      <c r="B69" s="147" t="s">
        <v>379</v>
      </c>
      <c r="C69" s="143" t="s">
        <v>82</v>
      </c>
      <c r="D69" s="142" t="s">
        <v>84</v>
      </c>
      <c r="E69" s="142" t="str">
        <f>$E$62</f>
        <v>פרטים מול אסף</v>
      </c>
      <c r="F69" s="142"/>
      <c r="G69" s="142" t="s">
        <v>10</v>
      </c>
      <c r="H69" s="142"/>
      <c r="I69" s="142"/>
      <c r="J69" s="142"/>
    </row>
    <row r="70" spans="1:11" s="126" customFormat="1" hidden="1" x14ac:dyDescent="0.25">
      <c r="A70" s="15">
        <v>45547</v>
      </c>
      <c r="B70" s="115"/>
      <c r="C70" s="151" t="s">
        <v>360</v>
      </c>
      <c r="D70" s="115" t="s">
        <v>48</v>
      </c>
      <c r="E70" s="115" t="str">
        <f>$E$62</f>
        <v>פרטים מול אסף</v>
      </c>
      <c r="F70" s="115"/>
      <c r="G70" s="115" t="s">
        <v>10</v>
      </c>
      <c r="H70" s="115"/>
      <c r="I70" s="115"/>
      <c r="J70" s="115"/>
    </row>
    <row r="71" spans="1:11" hidden="1" x14ac:dyDescent="0.25">
      <c r="A71" s="27">
        <v>45549</v>
      </c>
      <c r="B71" s="11">
        <v>0.875</v>
      </c>
      <c r="C71" s="151" t="s">
        <v>360</v>
      </c>
      <c r="D71" s="59" t="s">
        <v>153</v>
      </c>
      <c r="E71" s="59" t="s">
        <v>16</v>
      </c>
      <c r="G71" s="59" t="s">
        <v>10</v>
      </c>
      <c r="H71" s="59" t="s">
        <v>75</v>
      </c>
      <c r="I71" s="59" t="s">
        <v>325</v>
      </c>
      <c r="J71" s="59" t="s">
        <v>263</v>
      </c>
      <c r="K71" s="8" t="s">
        <v>326</v>
      </c>
    </row>
    <row r="72" spans="1:11" hidden="1" x14ac:dyDescent="0.25">
      <c r="A72" s="61">
        <v>45566</v>
      </c>
      <c r="B72" s="39"/>
      <c r="C72" s="39"/>
      <c r="D72" s="39"/>
      <c r="E72" s="39"/>
      <c r="F72" s="39"/>
      <c r="G72" s="39"/>
      <c r="H72" s="39"/>
      <c r="I72" s="39"/>
      <c r="J72" s="39"/>
    </row>
    <row r="73" spans="1:11" hidden="1" x14ac:dyDescent="0.25">
      <c r="A73" s="144">
        <v>45594</v>
      </c>
      <c r="B73" s="157" t="s">
        <v>410</v>
      </c>
      <c r="C73" s="145" t="s">
        <v>360</v>
      </c>
      <c r="D73" s="145" t="s">
        <v>355</v>
      </c>
      <c r="E73" s="145" t="s">
        <v>278</v>
      </c>
      <c r="F73" s="145"/>
      <c r="G73" s="145" t="s">
        <v>114</v>
      </c>
      <c r="H73" s="59" t="s">
        <v>119</v>
      </c>
      <c r="I73" s="133" t="s">
        <v>213</v>
      </c>
      <c r="J73" s="133" t="s">
        <v>270</v>
      </c>
      <c r="K73" s="8" t="s">
        <v>280</v>
      </c>
    </row>
    <row r="74" spans="1:11" hidden="1" x14ac:dyDescent="0.25">
      <c r="A74" s="61">
        <v>45597</v>
      </c>
      <c r="B74" s="39"/>
      <c r="C74" s="39"/>
      <c r="D74" s="39"/>
      <c r="E74" s="39"/>
      <c r="F74" s="39"/>
      <c r="G74" s="39"/>
      <c r="H74" s="39"/>
      <c r="I74" s="39"/>
      <c r="J74" s="39"/>
    </row>
    <row r="75" spans="1:11" hidden="1" x14ac:dyDescent="0.25">
      <c r="A75" s="27">
        <v>45601</v>
      </c>
      <c r="C75" s="151" t="s">
        <v>360</v>
      </c>
      <c r="D75" s="59" t="s">
        <v>384</v>
      </c>
      <c r="F75" s="59" t="s">
        <v>381</v>
      </c>
      <c r="G75" s="59" t="s">
        <v>4</v>
      </c>
    </row>
    <row r="76" spans="1:11" hidden="1" x14ac:dyDescent="0.25">
      <c r="A76" s="27">
        <v>45603</v>
      </c>
      <c r="B76" s="11">
        <v>0.91666666666666663</v>
      </c>
      <c r="C76" s="153" t="s">
        <v>360</v>
      </c>
      <c r="D76" s="153" t="s">
        <v>405</v>
      </c>
      <c r="E76" s="153" t="s">
        <v>409</v>
      </c>
      <c r="F76" s="153" t="s">
        <v>408</v>
      </c>
      <c r="G76" s="153" t="s">
        <v>114</v>
      </c>
      <c r="H76" s="153" t="s">
        <v>119</v>
      </c>
      <c r="I76" s="153" t="s">
        <v>165</v>
      </c>
      <c r="J76" s="153" t="s">
        <v>406</v>
      </c>
      <c r="K76" s="8" t="s">
        <v>407</v>
      </c>
    </row>
    <row r="77" spans="1:11" hidden="1" x14ac:dyDescent="0.25">
      <c r="A77" s="27">
        <v>45622</v>
      </c>
      <c r="B77" s="148" t="s">
        <v>397</v>
      </c>
      <c r="C77" s="149" t="s">
        <v>385</v>
      </c>
      <c r="D77" s="149" t="s">
        <v>417</v>
      </c>
      <c r="E77" s="149" t="s">
        <v>386</v>
      </c>
      <c r="F77" s="149" t="s">
        <v>404</v>
      </c>
      <c r="G77" s="149" t="s">
        <v>114</v>
      </c>
      <c r="H77" s="149" t="s">
        <v>387</v>
      </c>
      <c r="I77" s="149" t="s">
        <v>121</v>
      </c>
      <c r="J77" s="149" t="s">
        <v>388</v>
      </c>
      <c r="K77" s="8" t="s">
        <v>264</v>
      </c>
    </row>
    <row r="78" spans="1:11" hidden="1" x14ac:dyDescent="0.25">
      <c r="A78" s="27">
        <v>45624</v>
      </c>
      <c r="B78" s="11">
        <v>0.875</v>
      </c>
      <c r="C78" s="151" t="s">
        <v>360</v>
      </c>
      <c r="D78" s="59" t="s">
        <v>422</v>
      </c>
      <c r="E78" s="59" t="s">
        <v>349</v>
      </c>
      <c r="F78" s="59" t="s">
        <v>350</v>
      </c>
      <c r="G78" s="59" t="s">
        <v>114</v>
      </c>
      <c r="H78" s="59" t="s">
        <v>351</v>
      </c>
      <c r="I78" s="59" t="s">
        <v>213</v>
      </c>
      <c r="J78" s="59" t="s">
        <v>352</v>
      </c>
      <c r="K78" s="8" t="s">
        <v>353</v>
      </c>
    </row>
    <row r="79" spans="1:11" hidden="1" x14ac:dyDescent="0.25">
      <c r="A79" s="61">
        <v>45627</v>
      </c>
      <c r="B79" s="39"/>
      <c r="C79" s="39"/>
      <c r="D79" s="39"/>
      <c r="E79" s="39"/>
      <c r="F79" s="39"/>
      <c r="G79" s="39"/>
      <c r="H79" s="39"/>
      <c r="I79" s="39"/>
      <c r="J79" s="39"/>
    </row>
    <row r="80" spans="1:11" s="126" customFormat="1" hidden="1" x14ac:dyDescent="0.25">
      <c r="A80" s="15">
        <v>45628</v>
      </c>
      <c r="B80" s="26">
        <v>0.45833333333333331</v>
      </c>
      <c r="C80" s="151" t="s">
        <v>360</v>
      </c>
      <c r="D80" s="115" t="s">
        <v>391</v>
      </c>
      <c r="E80" s="115" t="s">
        <v>392</v>
      </c>
      <c r="F80" s="115" t="s">
        <v>393</v>
      </c>
      <c r="G80" s="115" t="s">
        <v>114</v>
      </c>
      <c r="H80" s="115" t="s">
        <v>11</v>
      </c>
      <c r="I80" s="115" t="s">
        <v>325</v>
      </c>
      <c r="J80" s="115" t="s">
        <v>394</v>
      </c>
      <c r="K80" s="126" t="s">
        <v>326</v>
      </c>
    </row>
    <row r="81" spans="1:11" hidden="1" x14ac:dyDescent="0.25">
      <c r="A81" s="27">
        <v>45652</v>
      </c>
      <c r="C81" s="151" t="s">
        <v>360</v>
      </c>
      <c r="D81" s="59" t="s">
        <v>327</v>
      </c>
      <c r="E81" s="128" t="s">
        <v>16</v>
      </c>
      <c r="G81" s="59" t="s">
        <v>10</v>
      </c>
    </row>
    <row r="82" spans="1:11" hidden="1" x14ac:dyDescent="0.25">
      <c r="A82" s="27">
        <v>45654</v>
      </c>
      <c r="C82" s="151" t="s">
        <v>360</v>
      </c>
      <c r="D82" s="59" t="s">
        <v>84</v>
      </c>
      <c r="E82" s="59" t="s">
        <v>16</v>
      </c>
      <c r="G82" s="59" t="s">
        <v>10</v>
      </c>
    </row>
    <row r="83" spans="1:11" hidden="1" x14ac:dyDescent="0.25">
      <c r="A83" s="27">
        <v>45655</v>
      </c>
      <c r="B83" s="140"/>
      <c r="C83" s="151" t="s">
        <v>360</v>
      </c>
      <c r="D83" s="140" t="s">
        <v>81</v>
      </c>
      <c r="E83" s="140" t="s">
        <v>16</v>
      </c>
      <c r="F83" s="140"/>
      <c r="G83" s="140" t="s">
        <v>10</v>
      </c>
      <c r="H83" s="140"/>
      <c r="I83" s="140"/>
      <c r="J83" s="140"/>
    </row>
    <row r="84" spans="1:11" ht="0.75" customHeight="1" x14ac:dyDescent="0.25">
      <c r="A84" s="135">
        <v>2025</v>
      </c>
      <c r="B84" s="136"/>
      <c r="C84" s="136"/>
      <c r="D84" s="136"/>
      <c r="E84" s="136"/>
      <c r="F84" s="136"/>
      <c r="G84" s="136"/>
      <c r="H84" s="136"/>
      <c r="I84" s="136"/>
      <c r="J84" s="136"/>
    </row>
    <row r="85" spans="1:11" ht="4.5" hidden="1" customHeight="1" x14ac:dyDescent="0.25">
      <c r="A85" s="61">
        <v>45658</v>
      </c>
      <c r="B85" s="39"/>
      <c r="C85" s="39"/>
      <c r="D85" s="39"/>
      <c r="E85" s="39"/>
      <c r="F85" s="39"/>
      <c r="G85" s="39"/>
      <c r="H85" s="39"/>
      <c r="I85" s="39"/>
      <c r="J85" s="39"/>
    </row>
    <row r="86" spans="1:11" s="8" customFormat="1" hidden="1" x14ac:dyDescent="0.25">
      <c r="A86" s="15">
        <v>45658</v>
      </c>
      <c r="B86" s="26">
        <v>0.875</v>
      </c>
      <c r="C86" s="151" t="s">
        <v>360</v>
      </c>
      <c r="D86" s="7" t="s">
        <v>395</v>
      </c>
      <c r="E86" s="7" t="s">
        <v>16</v>
      </c>
      <c r="F86" s="7" t="s">
        <v>133</v>
      </c>
      <c r="G86" s="7" t="s">
        <v>10</v>
      </c>
      <c r="H86" s="7" t="s">
        <v>75</v>
      </c>
      <c r="I86" s="7" t="s">
        <v>420</v>
      </c>
      <c r="J86" s="7" t="s">
        <v>421</v>
      </c>
      <c r="K86" s="8" t="s">
        <v>263</v>
      </c>
    </row>
    <row r="87" spans="1:11" hidden="1" x14ac:dyDescent="0.25">
      <c r="A87" s="27">
        <v>45659</v>
      </c>
      <c r="C87" s="151" t="s">
        <v>360</v>
      </c>
      <c r="D87" s="59" t="s">
        <v>80</v>
      </c>
      <c r="E87" s="59" t="s">
        <v>16</v>
      </c>
      <c r="G87" s="59" t="s">
        <v>10</v>
      </c>
    </row>
    <row r="88" spans="1:11" hidden="1" x14ac:dyDescent="0.25">
      <c r="A88" s="27">
        <v>45669</v>
      </c>
      <c r="B88" s="59" t="s">
        <v>195</v>
      </c>
      <c r="C88" s="59" t="s">
        <v>360</v>
      </c>
      <c r="D88" s="59" t="str">
        <f t="shared" ref="D88:J88" si="0">D92</f>
        <v>מלון רויאל ביץ',אילת</v>
      </c>
      <c r="E88" s="59" t="str">
        <f t="shared" si="0"/>
        <v>גלית דבי 052-2521943</v>
      </c>
      <c r="F88" s="59" t="str">
        <f t="shared" si="0"/>
        <v>מוטי מיקס 0505265188</v>
      </c>
      <c r="G88" s="59" t="str">
        <f t="shared" si="0"/>
        <v>שלי</v>
      </c>
      <c r="H88" s="59" t="str">
        <f t="shared" si="0"/>
        <v>60דק</v>
      </c>
      <c r="I88" s="59">
        <f t="shared" si="0"/>
        <v>300</v>
      </c>
      <c r="J88" s="59" t="str">
        <f t="shared" si="0"/>
        <v>אורחי פריתורס</v>
      </c>
    </row>
    <row r="89" spans="1:11" hidden="1" x14ac:dyDescent="0.25">
      <c r="A89" s="61">
        <v>45689</v>
      </c>
      <c r="B89" s="39"/>
      <c r="C89" s="39"/>
      <c r="D89" s="39"/>
      <c r="E89" s="39"/>
      <c r="F89" s="39"/>
      <c r="G89" s="39"/>
      <c r="H89" s="39"/>
      <c r="I89" s="39"/>
      <c r="J89" s="39"/>
    </row>
    <row r="90" spans="1:11" s="117" customFormat="1" hidden="1" x14ac:dyDescent="0.25">
      <c r="A90" s="15">
        <v>45691</v>
      </c>
      <c r="B90" s="26">
        <v>0.6875</v>
      </c>
      <c r="C90" s="170" t="s">
        <v>360</v>
      </c>
      <c r="D90" s="115" t="s">
        <v>441</v>
      </c>
      <c r="E90" s="115" t="s">
        <v>392</v>
      </c>
      <c r="F90" s="7" t="s">
        <v>412</v>
      </c>
      <c r="G90" s="115" t="s">
        <v>114</v>
      </c>
      <c r="H90" s="115"/>
      <c r="I90" s="115"/>
      <c r="J90" s="115"/>
    </row>
    <row r="91" spans="1:11" s="8" customFormat="1" hidden="1" x14ac:dyDescent="0.25">
      <c r="A91" s="15">
        <v>45330</v>
      </c>
      <c r="B91" s="7"/>
      <c r="C91" s="7" t="s">
        <v>360</v>
      </c>
      <c r="D91" s="7" t="s">
        <v>411</v>
      </c>
      <c r="E91" s="7" t="s">
        <v>413</v>
      </c>
      <c r="F91" s="7" t="s">
        <v>412</v>
      </c>
      <c r="G91" s="7" t="s">
        <v>114</v>
      </c>
      <c r="H91" s="7" t="s">
        <v>119</v>
      </c>
      <c r="I91" s="7">
        <v>800</v>
      </c>
      <c r="J91" s="7"/>
    </row>
    <row r="92" spans="1:11" s="8" customFormat="1" hidden="1" x14ac:dyDescent="0.25">
      <c r="A92" s="15">
        <v>45697</v>
      </c>
      <c r="B92" s="7" t="s">
        <v>195</v>
      </c>
      <c r="C92" s="7" t="s">
        <v>360</v>
      </c>
      <c r="D92" s="7" t="s">
        <v>424</v>
      </c>
      <c r="E92" s="7" t="s">
        <v>392</v>
      </c>
      <c r="F92" s="7" t="s">
        <v>412</v>
      </c>
      <c r="G92" s="7" t="s">
        <v>114</v>
      </c>
      <c r="H92" s="7" t="s">
        <v>11</v>
      </c>
      <c r="I92" s="7">
        <v>300</v>
      </c>
      <c r="J92" s="7" t="s">
        <v>425</v>
      </c>
    </row>
    <row r="93" spans="1:11" ht="0.75" hidden="1" customHeight="1" x14ac:dyDescent="0.25">
      <c r="A93" s="27">
        <v>45334</v>
      </c>
      <c r="B93" s="11">
        <v>0.85416666666666663</v>
      </c>
      <c r="C93" s="59" t="s">
        <v>360</v>
      </c>
      <c r="D93" s="59" t="s">
        <v>361</v>
      </c>
      <c r="E93" s="59" t="s">
        <v>362</v>
      </c>
      <c r="F93" s="59" t="s">
        <v>363</v>
      </c>
      <c r="G93" s="59" t="s">
        <v>4</v>
      </c>
      <c r="H93" s="59" t="s">
        <v>75</v>
      </c>
      <c r="I93" s="59">
        <v>570</v>
      </c>
      <c r="J93" s="59" t="s">
        <v>364</v>
      </c>
    </row>
    <row r="94" spans="1:11" hidden="1" x14ac:dyDescent="0.25">
      <c r="A94" s="27">
        <v>45335</v>
      </c>
      <c r="B94" s="11">
        <v>0.85416666666666663</v>
      </c>
      <c r="C94" s="59" t="s">
        <v>360</v>
      </c>
      <c r="D94" s="59" t="s">
        <v>365</v>
      </c>
      <c r="E94" s="134" t="s">
        <v>362</v>
      </c>
      <c r="F94" s="134" t="s">
        <v>363</v>
      </c>
      <c r="G94" s="134" t="s">
        <v>4</v>
      </c>
      <c r="H94" s="134" t="s">
        <v>75</v>
      </c>
      <c r="I94" s="59">
        <v>500</v>
      </c>
      <c r="J94" s="59" t="s">
        <v>366</v>
      </c>
    </row>
    <row r="95" spans="1:11" hidden="1" x14ac:dyDescent="0.25">
      <c r="A95" s="27">
        <v>45713</v>
      </c>
      <c r="B95" s="11">
        <v>0.875</v>
      </c>
      <c r="C95" s="176" t="s">
        <v>360</v>
      </c>
      <c r="D95" s="176" t="s">
        <v>458</v>
      </c>
      <c r="E95" s="176" t="s">
        <v>16</v>
      </c>
      <c r="F95" s="176"/>
      <c r="G95" s="176" t="s">
        <v>10</v>
      </c>
      <c r="H95" s="176"/>
      <c r="I95" s="176">
        <v>522</v>
      </c>
      <c r="J95" s="176"/>
    </row>
    <row r="96" spans="1:11" hidden="1" x14ac:dyDescent="0.25">
      <c r="A96" s="61">
        <v>45717</v>
      </c>
      <c r="B96" s="39"/>
      <c r="C96" s="39"/>
      <c r="D96" s="39"/>
      <c r="E96" s="39"/>
      <c r="F96" s="39"/>
      <c r="G96" s="39"/>
      <c r="H96" s="39"/>
      <c r="I96" s="39"/>
      <c r="J96" s="39"/>
    </row>
    <row r="97" spans="1:13" hidden="1" x14ac:dyDescent="0.25">
      <c r="A97" s="27">
        <v>45733</v>
      </c>
      <c r="B97" s="11">
        <v>0.83333333333333337</v>
      </c>
      <c r="C97" s="59" t="s">
        <v>360</v>
      </c>
      <c r="D97" s="59" t="s">
        <v>480</v>
      </c>
      <c r="E97" s="59" t="s">
        <v>481</v>
      </c>
      <c r="F97" s="59" t="s">
        <v>363</v>
      </c>
      <c r="G97" s="59" t="s">
        <v>13</v>
      </c>
      <c r="H97" s="59" t="s">
        <v>119</v>
      </c>
      <c r="I97" s="59">
        <v>350</v>
      </c>
    </row>
    <row r="98" spans="1:13" hidden="1" x14ac:dyDescent="0.25">
      <c r="A98" s="27">
        <v>45743</v>
      </c>
      <c r="B98" s="11">
        <v>0.875</v>
      </c>
      <c r="C98" s="59" t="s">
        <v>360</v>
      </c>
      <c r="D98" s="59" t="s">
        <v>465</v>
      </c>
      <c r="E98" s="59" t="s">
        <v>466</v>
      </c>
      <c r="F98" s="59" t="s">
        <v>363</v>
      </c>
      <c r="G98" s="59" t="s">
        <v>114</v>
      </c>
      <c r="H98" s="59" t="s">
        <v>11</v>
      </c>
      <c r="I98" s="59">
        <v>50</v>
      </c>
    </row>
    <row r="99" spans="1:13" hidden="1" x14ac:dyDescent="0.25">
      <c r="A99" s="61">
        <v>45748</v>
      </c>
      <c r="B99" s="39"/>
      <c r="C99" s="39"/>
      <c r="D99" s="39"/>
      <c r="E99" s="39"/>
      <c r="F99" s="39"/>
      <c r="G99" s="39"/>
      <c r="H99" s="39"/>
      <c r="I99" s="39"/>
      <c r="J99" s="39"/>
    </row>
    <row r="100" spans="1:13" hidden="1" x14ac:dyDescent="0.25">
      <c r="A100" s="27">
        <v>45749</v>
      </c>
      <c r="C100" s="59" t="s">
        <v>360</v>
      </c>
      <c r="D100" s="59" t="s">
        <v>83</v>
      </c>
      <c r="E100" s="59" t="s">
        <v>16</v>
      </c>
      <c r="G100" s="59" t="s">
        <v>10</v>
      </c>
    </row>
    <row r="101" spans="1:13" hidden="1" x14ac:dyDescent="0.25">
      <c r="A101" s="27">
        <v>45774</v>
      </c>
      <c r="B101" s="11">
        <v>0.83333333333333337</v>
      </c>
      <c r="C101" s="184" t="s">
        <v>360</v>
      </c>
      <c r="D101" s="184" t="s">
        <v>498</v>
      </c>
      <c r="E101" s="184" t="s">
        <v>499</v>
      </c>
      <c r="F101" s="184" t="s">
        <v>363</v>
      </c>
      <c r="G101" s="184" t="s">
        <v>13</v>
      </c>
      <c r="H101" s="184" t="s">
        <v>75</v>
      </c>
      <c r="I101" s="184">
        <v>500</v>
      </c>
      <c r="J101" s="184" t="s">
        <v>500</v>
      </c>
    </row>
    <row r="102" spans="1:13" hidden="1" x14ac:dyDescent="0.25">
      <c r="A102" s="27">
        <v>45777</v>
      </c>
      <c r="B102" s="11">
        <v>0.92708333333333337</v>
      </c>
      <c r="C102" s="59" t="s">
        <v>360</v>
      </c>
      <c r="D102" s="59" t="s">
        <v>455</v>
      </c>
      <c r="F102" s="59" t="s">
        <v>275</v>
      </c>
      <c r="G102" s="59" t="s">
        <v>21</v>
      </c>
      <c r="H102" s="59" t="s">
        <v>217</v>
      </c>
    </row>
    <row r="103" spans="1:13" hidden="1" x14ac:dyDescent="0.25">
      <c r="A103" s="61">
        <v>45778</v>
      </c>
      <c r="B103" s="39"/>
      <c r="C103" s="39"/>
      <c r="D103" s="39"/>
      <c r="E103" s="39"/>
      <c r="F103" s="39"/>
      <c r="G103" s="39"/>
      <c r="H103" s="39"/>
      <c r="I103" s="39"/>
      <c r="J103" s="39"/>
    </row>
    <row r="104" spans="1:13" s="8" customFormat="1" hidden="1" x14ac:dyDescent="0.25">
      <c r="A104" s="15">
        <v>45778</v>
      </c>
      <c r="B104" s="26">
        <v>0.85416666666666663</v>
      </c>
      <c r="C104" s="7" t="s">
        <v>360</v>
      </c>
      <c r="D104" s="7" t="s">
        <v>522</v>
      </c>
      <c r="E104" s="7" t="s">
        <v>47</v>
      </c>
      <c r="F104" s="7" t="s">
        <v>523</v>
      </c>
      <c r="G104" s="7" t="s">
        <v>22</v>
      </c>
      <c r="H104" s="7" t="s">
        <v>11</v>
      </c>
      <c r="I104" s="7" t="s">
        <v>524</v>
      </c>
      <c r="J104" s="7" t="s">
        <v>525</v>
      </c>
    </row>
    <row r="105" spans="1:13" s="8" customFormat="1" hidden="1" x14ac:dyDescent="0.25">
      <c r="A105" s="15">
        <v>45797</v>
      </c>
      <c r="B105" s="7"/>
      <c r="C105" s="7" t="s">
        <v>360</v>
      </c>
      <c r="D105" s="7" t="s">
        <v>452</v>
      </c>
      <c r="E105" s="7" t="s">
        <v>453</v>
      </c>
      <c r="F105" s="7" t="s">
        <v>454</v>
      </c>
      <c r="G105" s="7" t="s">
        <v>114</v>
      </c>
      <c r="H105" s="7" t="s">
        <v>75</v>
      </c>
      <c r="I105" s="7">
        <v>500</v>
      </c>
      <c r="J105" s="177" t="s">
        <v>459</v>
      </c>
      <c r="K105" s="178"/>
      <c r="L105" s="178"/>
      <c r="M105" s="178"/>
    </row>
    <row r="106" spans="1:13" hidden="1" x14ac:dyDescent="0.25">
      <c r="A106" s="27">
        <v>45803</v>
      </c>
      <c r="B106" s="11">
        <v>0.85416666666666663</v>
      </c>
      <c r="C106" s="59" t="s">
        <v>360</v>
      </c>
      <c r="D106" s="59" t="s">
        <v>451</v>
      </c>
      <c r="E106" s="59" t="s">
        <v>47</v>
      </c>
      <c r="F106" s="59" t="s">
        <v>275</v>
      </c>
      <c r="G106" s="59" t="s">
        <v>22</v>
      </c>
      <c r="H106" s="59" t="s">
        <v>45</v>
      </c>
    </row>
    <row r="107" spans="1:13" hidden="1" x14ac:dyDescent="0.25">
      <c r="A107" s="27">
        <v>45806</v>
      </c>
      <c r="C107" s="59" t="s">
        <v>360</v>
      </c>
      <c r="D107" s="59" t="s">
        <v>48</v>
      </c>
      <c r="G107" s="59" t="s">
        <v>10</v>
      </c>
    </row>
    <row r="108" spans="1:13" hidden="1" x14ac:dyDescent="0.25">
      <c r="A108" s="27">
        <v>45807</v>
      </c>
      <c r="B108" s="59" t="s">
        <v>125</v>
      </c>
      <c r="C108" s="59" t="s">
        <v>360</v>
      </c>
      <c r="D108" s="59" t="s">
        <v>478</v>
      </c>
      <c r="G108" s="59" t="s">
        <v>10</v>
      </c>
    </row>
    <row r="109" spans="1:13" hidden="1" x14ac:dyDescent="0.25"/>
    <row r="110" spans="1:13" ht="1.5" hidden="1" customHeight="1" x14ac:dyDescent="0.25">
      <c r="A110" s="61">
        <v>46174</v>
      </c>
      <c r="B110" s="39"/>
      <c r="C110" s="39"/>
      <c r="D110" s="39"/>
      <c r="E110" s="39"/>
      <c r="F110" s="39"/>
      <c r="G110" s="39"/>
      <c r="H110" s="39"/>
      <c r="I110" s="39"/>
      <c r="J110" s="39"/>
    </row>
    <row r="111" spans="1:13" s="117" customFormat="1" hidden="1" x14ac:dyDescent="0.25">
      <c r="A111" s="15">
        <v>45818</v>
      </c>
      <c r="B111" s="26">
        <v>0.8125</v>
      </c>
      <c r="C111" s="115" t="s">
        <v>360</v>
      </c>
      <c r="D111" s="115" t="s">
        <v>530</v>
      </c>
      <c r="E111" s="115" t="s">
        <v>532</v>
      </c>
      <c r="F111" s="115" t="s">
        <v>533</v>
      </c>
      <c r="G111" s="115" t="s">
        <v>114</v>
      </c>
      <c r="H111" s="115" t="s">
        <v>531</v>
      </c>
      <c r="I111" s="115">
        <v>650</v>
      </c>
      <c r="J111" s="115" t="s">
        <v>529</v>
      </c>
    </row>
    <row r="112" spans="1:13" hidden="1" x14ac:dyDescent="0.25">
      <c r="A112" s="27">
        <v>45820</v>
      </c>
      <c r="C112" s="59" t="s">
        <v>360</v>
      </c>
      <c r="D112" s="59" t="s">
        <v>81</v>
      </c>
      <c r="E112" s="59" t="s">
        <v>16</v>
      </c>
      <c r="G112" s="59" t="s">
        <v>10</v>
      </c>
    </row>
    <row r="113" spans="1:12" hidden="1" x14ac:dyDescent="0.25">
      <c r="A113" s="27"/>
    </row>
    <row r="114" spans="1:12" hidden="1" x14ac:dyDescent="0.25">
      <c r="A114" s="61">
        <v>45839</v>
      </c>
      <c r="B114" s="39"/>
      <c r="C114" s="39"/>
      <c r="D114" s="39"/>
      <c r="E114" s="39"/>
      <c r="F114" s="39"/>
      <c r="G114" s="39"/>
      <c r="H114" s="39"/>
      <c r="I114" s="39"/>
      <c r="J114" s="39"/>
    </row>
    <row r="115" spans="1:12" hidden="1" x14ac:dyDescent="0.25">
      <c r="A115" s="27">
        <v>45843</v>
      </c>
      <c r="C115" s="59" t="s">
        <v>360</v>
      </c>
      <c r="D115" s="59" t="s">
        <v>507</v>
      </c>
      <c r="E115" s="59" t="s">
        <v>16</v>
      </c>
      <c r="G115" s="59" t="s">
        <v>10</v>
      </c>
    </row>
    <row r="116" spans="1:12" hidden="1" x14ac:dyDescent="0.25">
      <c r="A116" s="27">
        <v>45845</v>
      </c>
      <c r="B116" s="7"/>
      <c r="C116" s="187" t="s">
        <v>360</v>
      </c>
      <c r="D116" s="187" t="s">
        <v>535</v>
      </c>
      <c r="E116" s="187" t="s">
        <v>544</v>
      </c>
      <c r="F116" s="187" t="s">
        <v>253</v>
      </c>
      <c r="G116" s="187" t="s">
        <v>21</v>
      </c>
      <c r="H116" s="187"/>
      <c r="I116" s="187"/>
      <c r="J116" s="187"/>
    </row>
    <row r="117" spans="1:12" hidden="1" x14ac:dyDescent="0.25">
      <c r="A117" s="61">
        <v>45870</v>
      </c>
      <c r="B117" s="39"/>
      <c r="C117" s="39"/>
      <c r="D117" s="39"/>
      <c r="E117" s="39"/>
      <c r="F117" s="39"/>
      <c r="G117" s="39"/>
      <c r="H117" s="39"/>
      <c r="I117" s="39"/>
      <c r="J117" s="39"/>
    </row>
    <row r="118" spans="1:12" s="183" customFormat="1" hidden="1" x14ac:dyDescent="0.25">
      <c r="A118" s="27">
        <v>45897</v>
      </c>
      <c r="B118" s="181" t="s">
        <v>551</v>
      </c>
      <c r="C118" s="191" t="s">
        <v>360</v>
      </c>
      <c r="D118" s="191" t="s">
        <v>487</v>
      </c>
      <c r="E118" s="191" t="s">
        <v>488</v>
      </c>
      <c r="F118" s="191" t="s">
        <v>489</v>
      </c>
      <c r="G118" s="191" t="s">
        <v>114</v>
      </c>
      <c r="H118" s="191" t="s">
        <v>119</v>
      </c>
      <c r="I118" s="191">
        <v>250</v>
      </c>
      <c r="J118" s="191" t="s">
        <v>490</v>
      </c>
      <c r="K118" s="45"/>
      <c r="L118" s="45"/>
    </row>
    <row r="119" spans="1:12" s="126" customFormat="1" hidden="1" x14ac:dyDescent="0.25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</row>
    <row r="120" spans="1:12" hidden="1" x14ac:dyDescent="0.25">
      <c r="A120" s="61">
        <v>45901</v>
      </c>
      <c r="B120" s="39"/>
      <c r="C120" s="39"/>
      <c r="D120" s="39"/>
      <c r="E120" s="39"/>
      <c r="F120" s="39"/>
      <c r="G120" s="39"/>
      <c r="H120" s="39"/>
      <c r="I120" s="39"/>
      <c r="J120" s="39"/>
    </row>
    <row r="121" spans="1:12" s="126" customFormat="1" hidden="1" x14ac:dyDescent="0.25">
      <c r="A121" s="15">
        <v>45920</v>
      </c>
      <c r="B121" s="26">
        <v>0.85416666666666663</v>
      </c>
      <c r="C121" s="115" t="s">
        <v>360</v>
      </c>
      <c r="D121" s="115" t="s">
        <v>555</v>
      </c>
      <c r="E121" s="115" t="s">
        <v>381</v>
      </c>
      <c r="F121" s="115"/>
      <c r="G121" s="115" t="s">
        <v>10</v>
      </c>
      <c r="H121" s="115"/>
      <c r="I121" s="115"/>
      <c r="J121" s="115"/>
    </row>
    <row r="122" spans="1:12" ht="3" hidden="1" customHeight="1" x14ac:dyDescent="0.25">
      <c r="A122" s="61">
        <v>45931</v>
      </c>
      <c r="B122" s="39"/>
      <c r="C122" s="39"/>
      <c r="D122" s="39"/>
      <c r="E122" s="39"/>
      <c r="F122" s="39"/>
      <c r="G122" s="39"/>
      <c r="H122" s="39"/>
      <c r="I122" s="39"/>
      <c r="J122" s="39"/>
    </row>
    <row r="123" spans="1:12" s="183" customFormat="1" hidden="1" x14ac:dyDescent="0.25">
      <c r="A123" s="27">
        <v>45953</v>
      </c>
      <c r="B123" s="167" t="s">
        <v>552</v>
      </c>
      <c r="C123" s="192" t="s">
        <v>360</v>
      </c>
      <c r="D123" s="192" t="s">
        <v>497</v>
      </c>
      <c r="E123" s="192" t="s">
        <v>16</v>
      </c>
      <c r="F123" s="192"/>
      <c r="G123" s="192" t="s">
        <v>10</v>
      </c>
      <c r="H123" s="192"/>
      <c r="I123" s="192"/>
      <c r="J123" s="192"/>
      <c r="K123" s="45"/>
      <c r="L123" s="45"/>
    </row>
    <row r="124" spans="1:12" hidden="1" x14ac:dyDescent="0.25">
      <c r="A124" s="27">
        <v>45960</v>
      </c>
      <c r="C124" s="59" t="s">
        <v>360</v>
      </c>
      <c r="D124" s="59" t="s">
        <v>81</v>
      </c>
      <c r="E124" s="59" t="s">
        <v>16</v>
      </c>
      <c r="G124" s="59" t="s">
        <v>10</v>
      </c>
    </row>
    <row r="125" spans="1:12" hidden="1" x14ac:dyDescent="0.25">
      <c r="A125" s="61">
        <v>45962</v>
      </c>
      <c r="B125" s="39"/>
      <c r="C125" s="39"/>
      <c r="D125" s="39"/>
      <c r="E125" s="39"/>
      <c r="F125" s="39"/>
      <c r="G125" s="39"/>
      <c r="H125" s="39"/>
      <c r="I125" s="39"/>
      <c r="J125" s="39"/>
    </row>
    <row r="126" spans="1:12" s="8" customFormat="1" hidden="1" x14ac:dyDescent="0.25">
      <c r="A126" s="15">
        <v>45981</v>
      </c>
      <c r="B126" s="26">
        <v>0.85416666666666663</v>
      </c>
      <c r="C126" s="7" t="s">
        <v>360</v>
      </c>
      <c r="D126" s="7" t="s">
        <v>568</v>
      </c>
      <c r="E126" s="115" t="s">
        <v>381</v>
      </c>
      <c r="F126" s="7"/>
      <c r="G126" s="7"/>
      <c r="H126" s="7"/>
      <c r="I126" s="7"/>
      <c r="J126" s="7"/>
    </row>
    <row r="127" spans="1:12" hidden="1" x14ac:dyDescent="0.25">
      <c r="A127" s="27">
        <v>45988</v>
      </c>
      <c r="B127" s="11">
        <v>0.875</v>
      </c>
      <c r="C127" s="59" t="s">
        <v>360</v>
      </c>
      <c r="D127" s="59" t="s">
        <v>511</v>
      </c>
      <c r="E127" s="59" t="s">
        <v>539</v>
      </c>
      <c r="F127" s="59" t="s">
        <v>540</v>
      </c>
      <c r="G127" s="59" t="s">
        <v>4</v>
      </c>
      <c r="H127" s="59" t="s">
        <v>75</v>
      </c>
      <c r="I127" s="59">
        <v>1000</v>
      </c>
      <c r="J127" s="59" t="s">
        <v>538</v>
      </c>
      <c r="K127" s="8" t="s">
        <v>541</v>
      </c>
    </row>
    <row r="128" spans="1:12" hidden="1" x14ac:dyDescent="0.25"/>
    <row r="129" spans="1:11" hidden="1" x14ac:dyDescent="0.25">
      <c r="A129" s="61">
        <v>45992</v>
      </c>
      <c r="B129" s="39"/>
      <c r="C129" s="39"/>
      <c r="D129" s="39"/>
      <c r="E129" s="39"/>
      <c r="F129" s="39"/>
      <c r="G129" s="39"/>
      <c r="H129" s="39"/>
      <c r="I129" s="39"/>
      <c r="J129" s="39"/>
    </row>
    <row r="130" spans="1:11" hidden="1" x14ac:dyDescent="0.25"/>
    <row r="131" spans="1:11" ht="0.75" customHeight="1" x14ac:dyDescent="0.25">
      <c r="A131" s="196">
        <v>2026</v>
      </c>
      <c r="B131" s="177"/>
      <c r="C131" s="177"/>
      <c r="D131" s="177"/>
      <c r="E131" s="177"/>
      <c r="F131" s="177"/>
      <c r="G131" s="177"/>
      <c r="H131" s="177"/>
      <c r="I131" s="177"/>
      <c r="J131" s="177"/>
    </row>
    <row r="132" spans="1:11" hidden="1" x14ac:dyDescent="0.25">
      <c r="A132" s="61">
        <v>46023</v>
      </c>
      <c r="B132" s="39"/>
      <c r="C132" s="39"/>
      <c r="D132" s="39"/>
      <c r="E132" s="39"/>
      <c r="F132" s="39"/>
      <c r="G132" s="39"/>
      <c r="H132" s="39"/>
      <c r="I132" s="39"/>
      <c r="J132" s="39"/>
      <c r="K132" s="93"/>
    </row>
    <row r="133" spans="1:11" s="8" customFormat="1" hidden="1" x14ac:dyDescent="0.25">
      <c r="A133" s="15">
        <v>46037</v>
      </c>
      <c r="B133" s="7"/>
      <c r="C133" s="7" t="s">
        <v>360</v>
      </c>
      <c r="D133" s="7" t="s">
        <v>587</v>
      </c>
      <c r="E133" s="7" t="s">
        <v>590</v>
      </c>
      <c r="F133" s="7"/>
      <c r="G133" s="7" t="s">
        <v>114</v>
      </c>
      <c r="H133" s="7" t="s">
        <v>75</v>
      </c>
      <c r="I133" s="7"/>
      <c r="J133" s="7" t="s">
        <v>588</v>
      </c>
      <c r="K133" s="93"/>
    </row>
    <row r="134" spans="1:11" hidden="1" x14ac:dyDescent="0.25">
      <c r="A134" s="27"/>
      <c r="B134" s="195"/>
      <c r="C134" s="195"/>
      <c r="D134" s="195"/>
      <c r="E134" s="195"/>
      <c r="F134" s="195"/>
      <c r="G134" s="195"/>
      <c r="H134" s="195"/>
      <c r="I134" s="195"/>
      <c r="J134" s="195"/>
      <c r="K134" s="93"/>
    </row>
    <row r="135" spans="1:11" hidden="1" x14ac:dyDescent="0.25">
      <c r="A135" s="61">
        <v>46054</v>
      </c>
      <c r="B135" s="39"/>
      <c r="C135" s="39"/>
      <c r="D135" s="39"/>
      <c r="E135" s="39"/>
      <c r="F135" s="39"/>
      <c r="G135" s="39"/>
      <c r="H135" s="39"/>
      <c r="I135" s="39"/>
      <c r="J135" s="39"/>
      <c r="K135" s="93"/>
    </row>
    <row r="136" spans="1:11" s="8" customFormat="1" hidden="1" x14ac:dyDescent="0.25">
      <c r="A136" s="15">
        <v>46062</v>
      </c>
      <c r="B136" s="7" t="s">
        <v>609</v>
      </c>
      <c r="C136" s="7" t="s">
        <v>360</v>
      </c>
      <c r="D136" s="7" t="s">
        <v>608</v>
      </c>
      <c r="E136" s="7" t="s">
        <v>611</v>
      </c>
      <c r="F136" s="7" t="s">
        <v>610</v>
      </c>
      <c r="G136" s="7" t="s">
        <v>10</v>
      </c>
      <c r="H136" s="7"/>
      <c r="I136" s="7"/>
      <c r="J136" s="7"/>
      <c r="K136" s="93"/>
    </row>
    <row r="137" spans="1:11" s="8" customFormat="1" hidden="1" x14ac:dyDescent="0.25">
      <c r="A137" s="15">
        <v>46079</v>
      </c>
      <c r="B137" s="26">
        <v>0.85416666666666663</v>
      </c>
      <c r="C137" s="7" t="s">
        <v>360</v>
      </c>
      <c r="D137" s="7" t="s">
        <v>81</v>
      </c>
      <c r="E137" s="7"/>
      <c r="F137" s="7"/>
      <c r="G137" s="7" t="s">
        <v>10</v>
      </c>
      <c r="H137" s="7"/>
      <c r="I137" s="7"/>
      <c r="J137" s="7" t="s">
        <v>586</v>
      </c>
      <c r="K137" s="93"/>
    </row>
    <row r="138" spans="1:11" hidden="1" x14ac:dyDescent="0.25">
      <c r="A138" s="61">
        <v>46082</v>
      </c>
      <c r="B138" s="39"/>
      <c r="C138" s="39"/>
      <c r="D138" s="39"/>
      <c r="E138" s="39"/>
      <c r="F138" s="39"/>
      <c r="G138" s="39"/>
      <c r="H138" s="39"/>
      <c r="I138" s="39"/>
      <c r="J138" s="39"/>
      <c r="K138" s="93"/>
    </row>
    <row r="139" spans="1:11" hidden="1" x14ac:dyDescent="0.25">
      <c r="A139" s="61">
        <v>46113</v>
      </c>
      <c r="B139" s="39"/>
      <c r="C139" s="39"/>
      <c r="D139" s="39"/>
      <c r="E139" s="39"/>
      <c r="F139" s="39"/>
      <c r="G139" s="39"/>
      <c r="H139" s="39"/>
      <c r="I139" s="39"/>
      <c r="J139" s="39"/>
    </row>
    <row r="140" spans="1:11" s="8" customFormat="1" hidden="1" x14ac:dyDescent="0.25">
      <c r="A140" s="204"/>
      <c r="B140" s="7"/>
      <c r="C140" s="7"/>
      <c r="D140" s="7"/>
      <c r="E140" s="7"/>
      <c r="F140" s="7"/>
      <c r="G140" s="7"/>
      <c r="H140" s="7"/>
      <c r="I140" s="7"/>
      <c r="J140" s="7"/>
    </row>
    <row r="141" spans="1:11" hidden="1" x14ac:dyDescent="0.25"/>
    <row r="142" spans="1:11" hidden="1" x14ac:dyDescent="0.25">
      <c r="A142" s="61">
        <v>46143</v>
      </c>
      <c r="B142" s="39"/>
      <c r="C142" s="39"/>
      <c r="D142" s="39"/>
      <c r="E142" s="39"/>
      <c r="F142" s="39"/>
      <c r="G142" s="39"/>
      <c r="H142" s="39"/>
      <c r="I142" s="39"/>
      <c r="J142" s="39"/>
    </row>
    <row r="143" spans="1:11" hidden="1" x14ac:dyDescent="0.25">
      <c r="A143" s="27">
        <v>46156</v>
      </c>
      <c r="C143" s="59" t="s">
        <v>360</v>
      </c>
      <c r="D143" s="59" t="s">
        <v>84</v>
      </c>
      <c r="G143" s="59" t="s">
        <v>10</v>
      </c>
    </row>
    <row r="144" spans="1:11" hidden="1" x14ac:dyDescent="0.25">
      <c r="A144" s="27">
        <v>46165</v>
      </c>
      <c r="B144" s="201" t="s">
        <v>629</v>
      </c>
      <c r="C144" s="21" t="s">
        <v>360</v>
      </c>
      <c r="D144" s="1" t="s">
        <v>628</v>
      </c>
      <c r="E144" s="1" t="s">
        <v>381</v>
      </c>
      <c r="F144" s="9"/>
      <c r="G144" s="1"/>
      <c r="H144" s="1"/>
      <c r="I144" s="10"/>
      <c r="J144" s="195"/>
      <c r="K144" s="93"/>
    </row>
    <row r="145" spans="1:10" hidden="1" x14ac:dyDescent="0.25">
      <c r="A145" s="61">
        <v>46174</v>
      </c>
      <c r="B145" s="39"/>
      <c r="C145" s="39"/>
      <c r="D145" s="39"/>
      <c r="E145" s="39"/>
      <c r="F145" s="39"/>
      <c r="G145" s="39"/>
      <c r="H145" s="39"/>
      <c r="I145" s="39"/>
      <c r="J145" s="39"/>
    </row>
    <row r="146" spans="1:10" s="8" customFormat="1" hidden="1" x14ac:dyDescent="0.25">
      <c r="A146" s="15">
        <v>46182</v>
      </c>
      <c r="B146" s="202" t="s">
        <v>660</v>
      </c>
      <c r="C146" s="7" t="s">
        <v>360</v>
      </c>
      <c r="D146" s="7" t="s">
        <v>657</v>
      </c>
      <c r="E146" s="7" t="s">
        <v>656</v>
      </c>
      <c r="F146" s="7" t="s">
        <v>655</v>
      </c>
      <c r="G146" s="7" t="s">
        <v>22</v>
      </c>
      <c r="H146" s="7" t="s">
        <v>11</v>
      </c>
      <c r="I146" s="7"/>
      <c r="J146" s="7" t="s">
        <v>654</v>
      </c>
    </row>
    <row r="147" spans="1:10" hidden="1" x14ac:dyDescent="0.25">
      <c r="A147" s="27">
        <v>46186</v>
      </c>
      <c r="B147" s="11" t="s">
        <v>641</v>
      </c>
      <c r="C147" s="59" t="s">
        <v>360</v>
      </c>
      <c r="D147" s="59" t="s">
        <v>637</v>
      </c>
      <c r="E147" s="59" t="s">
        <v>635</v>
      </c>
      <c r="F147" s="59" t="s">
        <v>640</v>
      </c>
      <c r="G147" s="59" t="s">
        <v>114</v>
      </c>
      <c r="H147" s="59" t="s">
        <v>11</v>
      </c>
      <c r="I147" s="59">
        <v>120</v>
      </c>
      <c r="J147" s="59" t="s">
        <v>636</v>
      </c>
    </row>
    <row r="148" spans="1:10" hidden="1" x14ac:dyDescent="0.25">
      <c r="A148" s="61">
        <v>46204</v>
      </c>
      <c r="B148" s="39"/>
      <c r="C148" s="39"/>
      <c r="D148" s="39"/>
      <c r="E148" s="39"/>
      <c r="F148" s="39"/>
      <c r="G148" s="39"/>
      <c r="H148" s="39"/>
      <c r="I148" s="39"/>
      <c r="J148" s="39"/>
    </row>
    <row r="149" spans="1:10" hidden="1" x14ac:dyDescent="0.25"/>
    <row r="150" spans="1:10" hidden="1" x14ac:dyDescent="0.25"/>
    <row r="151" spans="1:10" hidden="1" x14ac:dyDescent="0.25">
      <c r="A151" s="61">
        <v>46235</v>
      </c>
      <c r="B151" s="39"/>
      <c r="C151" s="39"/>
      <c r="D151" s="39"/>
      <c r="E151" s="39"/>
      <c r="F151" s="39"/>
      <c r="G151" s="39"/>
      <c r="H151" s="39"/>
      <c r="I151" s="39"/>
      <c r="J151" s="39"/>
    </row>
    <row r="152" spans="1:10" hidden="1" x14ac:dyDescent="0.25"/>
    <row r="153" spans="1:10" hidden="1" x14ac:dyDescent="0.25"/>
    <row r="154" spans="1:10" x14ac:dyDescent="0.25">
      <c r="A154" s="61">
        <v>46266</v>
      </c>
      <c r="B154" s="39"/>
      <c r="C154" s="39"/>
      <c r="D154" s="39"/>
      <c r="E154" s="39"/>
      <c r="F154" s="39"/>
      <c r="G154" s="39"/>
      <c r="H154" s="39"/>
      <c r="I154" s="39"/>
      <c r="J154" s="39"/>
    </row>
    <row r="155" spans="1:10" x14ac:dyDescent="0.25">
      <c r="A155" s="27">
        <v>46267</v>
      </c>
      <c r="B155" s="11">
        <v>0.83333333333333337</v>
      </c>
      <c r="C155" s="59" t="s">
        <v>360</v>
      </c>
      <c r="D155" s="59" t="s">
        <v>665</v>
      </c>
      <c r="E155" s="59" t="s">
        <v>642</v>
      </c>
      <c r="F155" s="59" t="s">
        <v>521</v>
      </c>
      <c r="G155" s="59" t="s">
        <v>13</v>
      </c>
      <c r="H155" s="59" t="s">
        <v>11</v>
      </c>
      <c r="I155" s="59">
        <v>500</v>
      </c>
      <c r="J155" s="59" t="s">
        <v>666</v>
      </c>
    </row>
    <row r="156" spans="1:10" x14ac:dyDescent="0.25">
      <c r="A156" s="61">
        <v>46296</v>
      </c>
      <c r="B156" s="39"/>
      <c r="C156" s="39"/>
      <c r="D156" s="39"/>
      <c r="E156" s="39"/>
      <c r="F156" s="39"/>
      <c r="G156" s="39"/>
      <c r="H156" s="39"/>
      <c r="I156" s="39"/>
      <c r="J156" s="39"/>
    </row>
    <row r="157" spans="1:10" x14ac:dyDescent="0.25">
      <c r="A157" s="27">
        <v>46326</v>
      </c>
      <c r="C157" s="59" t="s">
        <v>360</v>
      </c>
      <c r="D157" s="59" t="s">
        <v>708</v>
      </c>
      <c r="E157" s="59" t="s">
        <v>704</v>
      </c>
      <c r="F157" s="59" t="s">
        <v>408</v>
      </c>
      <c r="G157" s="59" t="s">
        <v>13</v>
      </c>
      <c r="H157" s="59" t="s">
        <v>11</v>
      </c>
      <c r="I157" s="59">
        <v>500</v>
      </c>
      <c r="J157" s="59" t="s">
        <v>707</v>
      </c>
    </row>
    <row r="158" spans="1:10" x14ac:dyDescent="0.25">
      <c r="A158" s="61">
        <v>46327</v>
      </c>
      <c r="B158" s="39"/>
      <c r="C158" s="39"/>
      <c r="D158" s="39"/>
      <c r="E158" s="39"/>
      <c r="F158" s="39"/>
      <c r="G158" s="39"/>
      <c r="H158" s="39"/>
      <c r="I158" s="39"/>
      <c r="J158" s="39"/>
    </row>
    <row r="159" spans="1:10" x14ac:dyDescent="0.25">
      <c r="A159" s="27">
        <v>46340</v>
      </c>
      <c r="B159" s="11">
        <v>0.89583333333333337</v>
      </c>
      <c r="C159" s="59" t="s">
        <v>360</v>
      </c>
      <c r="D159" s="59" t="s">
        <v>730</v>
      </c>
      <c r="F159" s="59" t="s">
        <v>33</v>
      </c>
      <c r="G159" s="59" t="s">
        <v>4</v>
      </c>
      <c r="H159" s="59" t="s">
        <v>58</v>
      </c>
      <c r="I159" s="59" t="s">
        <v>149</v>
      </c>
      <c r="J159" s="59" t="s">
        <v>731</v>
      </c>
    </row>
    <row r="160" spans="1:10" x14ac:dyDescent="0.25">
      <c r="A160" s="61">
        <v>46357</v>
      </c>
      <c r="B160" s="39"/>
      <c r="C160" s="39"/>
      <c r="D160" s="39"/>
      <c r="E160" s="39"/>
      <c r="F160" s="39"/>
      <c r="G160" s="39"/>
      <c r="H160" s="39"/>
      <c r="I160" s="39"/>
      <c r="J160" s="39"/>
    </row>
    <row r="161" spans="1:10" x14ac:dyDescent="0.25">
      <c r="A161" s="27">
        <v>46359</v>
      </c>
      <c r="B161" s="201" t="s">
        <v>728</v>
      </c>
      <c r="C161" s="225" t="s">
        <v>360</v>
      </c>
      <c r="D161" s="59" t="s">
        <v>727</v>
      </c>
      <c r="E161" s="59" t="s">
        <v>705</v>
      </c>
      <c r="F161" s="59" t="s">
        <v>706</v>
      </c>
      <c r="G161" s="59" t="s">
        <v>10</v>
      </c>
      <c r="H161" s="59" t="s">
        <v>157</v>
      </c>
      <c r="I161" s="59">
        <v>1300</v>
      </c>
      <c r="J161" s="59" t="s">
        <v>263</v>
      </c>
    </row>
    <row r="162" spans="1:10" x14ac:dyDescent="0.25">
      <c r="A162" s="27">
        <v>46366</v>
      </c>
      <c r="B162" s="201">
        <v>0.875</v>
      </c>
      <c r="C162" s="225" t="s">
        <v>360</v>
      </c>
      <c r="D162" s="59" t="s">
        <v>692</v>
      </c>
      <c r="E162" s="59" t="s">
        <v>693</v>
      </c>
      <c r="F162" s="59" t="s">
        <v>275</v>
      </c>
      <c r="G162" s="225" t="s">
        <v>10</v>
      </c>
      <c r="H162" s="59" t="s">
        <v>58</v>
      </c>
    </row>
    <row r="163" spans="1:10" x14ac:dyDescent="0.25">
      <c r="A163" s="27">
        <v>46385</v>
      </c>
      <c r="C163" s="59" t="s">
        <v>360</v>
      </c>
      <c r="D163" s="59" t="s">
        <v>746</v>
      </c>
      <c r="G163" s="59" t="s">
        <v>10</v>
      </c>
    </row>
    <row r="164" spans="1:10" x14ac:dyDescent="0.25">
      <c r="A164" s="196">
        <v>2027</v>
      </c>
      <c r="B164" s="177"/>
      <c r="C164" s="177"/>
      <c r="D164" s="177"/>
      <c r="E164" s="177"/>
      <c r="F164" s="177"/>
      <c r="G164" s="177"/>
      <c r="H164" s="177"/>
      <c r="I164" s="177"/>
      <c r="J164" s="177"/>
    </row>
    <row r="165" spans="1:10" x14ac:dyDescent="0.25">
      <c r="A165" s="2" t="s">
        <v>0</v>
      </c>
      <c r="B165" s="2" t="s">
        <v>3</v>
      </c>
      <c r="C165" s="2" t="s">
        <v>18</v>
      </c>
      <c r="D165" s="3" t="s">
        <v>1</v>
      </c>
      <c r="E165" s="4" t="s">
        <v>9</v>
      </c>
      <c r="F165" s="4" t="s">
        <v>5</v>
      </c>
      <c r="G165" s="5" t="s">
        <v>7</v>
      </c>
      <c r="H165" s="6" t="s">
        <v>6</v>
      </c>
      <c r="I165" s="6" t="s">
        <v>8</v>
      </c>
      <c r="J165" s="6" t="s">
        <v>2</v>
      </c>
    </row>
    <row r="166" spans="1:10" x14ac:dyDescent="0.25">
      <c r="A166" s="61">
        <v>46388</v>
      </c>
      <c r="B166" s="39"/>
      <c r="C166" s="39"/>
      <c r="D166" s="39"/>
      <c r="E166" s="39"/>
      <c r="F166" s="39"/>
      <c r="G166" s="39"/>
      <c r="H166" s="39"/>
      <c r="I166" s="39"/>
      <c r="J166" s="39"/>
    </row>
    <row r="167" spans="1:10" x14ac:dyDescent="0.25">
      <c r="A167" s="27">
        <v>46388</v>
      </c>
      <c r="B167" s="11">
        <v>0.52083333333333337</v>
      </c>
      <c r="C167" s="59" t="s">
        <v>360</v>
      </c>
      <c r="D167" s="59" t="s">
        <v>735</v>
      </c>
      <c r="E167" s="59" t="s">
        <v>736</v>
      </c>
      <c r="F167" s="59" t="s">
        <v>737</v>
      </c>
      <c r="G167" s="59" t="s">
        <v>4</v>
      </c>
    </row>
    <row r="168" spans="1:10" x14ac:dyDescent="0.25">
      <c r="A168" s="27">
        <v>46401</v>
      </c>
      <c r="B168" s="201" t="s">
        <v>113</v>
      </c>
      <c r="C168" s="239" t="s">
        <v>360</v>
      </c>
      <c r="D168" s="239" t="s">
        <v>738</v>
      </c>
      <c r="E168" s="239"/>
      <c r="F168" s="239"/>
      <c r="G168" s="239" t="s">
        <v>13</v>
      </c>
      <c r="H168" s="239"/>
      <c r="I168" s="239"/>
      <c r="J168" s="239"/>
    </row>
    <row r="169" spans="1:10" x14ac:dyDescent="0.25">
      <c r="A169" s="73" t="s">
        <v>668</v>
      </c>
      <c r="B169" s="39"/>
      <c r="C169" s="39"/>
      <c r="D169" s="39"/>
      <c r="E169" s="39"/>
      <c r="F169" s="39"/>
      <c r="G169" s="39"/>
      <c r="H169" s="39"/>
      <c r="I169" s="39"/>
      <c r="J169" s="39"/>
    </row>
    <row r="171" spans="1:10" x14ac:dyDescent="0.25">
      <c r="A171" s="61">
        <v>46447</v>
      </c>
      <c r="B171" s="39"/>
      <c r="C171" s="39"/>
      <c r="D171" s="39"/>
      <c r="E171" s="39"/>
      <c r="F171" s="39"/>
      <c r="G171" s="39"/>
      <c r="H171" s="39"/>
      <c r="I171" s="39"/>
      <c r="J171" s="39"/>
    </row>
    <row r="173" spans="1:10" x14ac:dyDescent="0.25">
      <c r="A173" s="61">
        <v>46478</v>
      </c>
      <c r="B173" s="39"/>
      <c r="C173" s="39"/>
      <c r="D173" s="39"/>
      <c r="E173" s="39"/>
      <c r="F173" s="39"/>
      <c r="G173" s="39"/>
      <c r="H173" s="39"/>
      <c r="I173" s="39"/>
      <c r="J173" s="39"/>
    </row>
    <row r="174" spans="1:10" x14ac:dyDescent="0.25">
      <c r="A174" s="27">
        <v>46491</v>
      </c>
      <c r="B174" s="11">
        <v>0.85416666666666663</v>
      </c>
      <c r="C174" s="59" t="s">
        <v>360</v>
      </c>
      <c r="D174" s="59" t="s">
        <v>669</v>
      </c>
      <c r="E174" s="59" t="s">
        <v>362</v>
      </c>
      <c r="F174" s="59" t="s">
        <v>670</v>
      </c>
      <c r="G174" s="59" t="s">
        <v>4</v>
      </c>
      <c r="H174" s="59" t="s">
        <v>537</v>
      </c>
      <c r="I174" s="59">
        <v>408</v>
      </c>
    </row>
    <row r="175" spans="1:10" x14ac:dyDescent="0.25">
      <c r="A175" s="61">
        <v>46508</v>
      </c>
      <c r="B175" s="39"/>
      <c r="C175" s="39"/>
      <c r="D175" s="39"/>
      <c r="E175" s="39"/>
      <c r="F175" s="39"/>
      <c r="G175" s="39"/>
      <c r="H175" s="39"/>
      <c r="I175" s="39"/>
      <c r="J175" s="39"/>
    </row>
    <row r="176" spans="1:10" x14ac:dyDescent="0.25">
      <c r="A176" s="27">
        <v>46526</v>
      </c>
      <c r="B176" s="11">
        <v>0.85416666666666663</v>
      </c>
      <c r="C176" s="222" t="s">
        <v>360</v>
      </c>
      <c r="D176" s="222" t="s">
        <v>671</v>
      </c>
      <c r="E176" s="222" t="s">
        <v>362</v>
      </c>
      <c r="F176" s="222" t="s">
        <v>670</v>
      </c>
      <c r="G176" s="222" t="s">
        <v>4</v>
      </c>
      <c r="H176" s="222" t="s">
        <v>537</v>
      </c>
      <c r="I176" s="222">
        <v>446</v>
      </c>
    </row>
    <row r="177" spans="1:9" x14ac:dyDescent="0.25">
      <c r="A177" s="27">
        <v>46533</v>
      </c>
      <c r="B177" s="11">
        <v>0.85416666666666663</v>
      </c>
      <c r="C177" s="222" t="s">
        <v>360</v>
      </c>
      <c r="D177" s="222" t="s">
        <v>672</v>
      </c>
      <c r="E177" s="222" t="s">
        <v>362</v>
      </c>
      <c r="F177" s="222" t="s">
        <v>670</v>
      </c>
      <c r="G177" s="222" t="s">
        <v>4</v>
      </c>
      <c r="H177" s="222" t="s">
        <v>537</v>
      </c>
      <c r="I177" s="222">
        <v>509</v>
      </c>
    </row>
  </sheetData>
  <autoFilter ref="A2:H2">
    <sortState ref="A3:G14">
      <sortCondition ref="A2"/>
    </sortState>
  </autoFilter>
  <mergeCells count="1">
    <mergeCell ref="A1:H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G31"/>
  <sheetViews>
    <sheetView rightToLeft="1" topLeftCell="A15" workbookViewId="0">
      <selection activeCell="C26" sqref="C26"/>
    </sheetView>
  </sheetViews>
  <sheetFormatPr defaultRowHeight="15.75" x14ac:dyDescent="0.25"/>
  <cols>
    <col min="1" max="1" width="12.75" style="59" customWidth="1"/>
    <col min="2" max="2" width="8.75" style="59" customWidth="1"/>
    <col min="3" max="3" width="31.5" style="59" customWidth="1"/>
    <col min="4" max="4" width="27" style="59" customWidth="1"/>
    <col min="5" max="5" width="10.625" style="59" customWidth="1"/>
    <col min="6" max="6" width="13.625" style="59" customWidth="1"/>
    <col min="7" max="7" width="24.375" style="59" customWidth="1"/>
  </cols>
  <sheetData>
    <row r="1" spans="1:7" x14ac:dyDescent="0.25">
      <c r="A1" s="241" t="s">
        <v>101</v>
      </c>
      <c r="B1" s="241"/>
      <c r="C1" s="241"/>
      <c r="D1" s="242"/>
      <c r="E1" s="242"/>
      <c r="F1" s="242"/>
    </row>
    <row r="2" spans="1:7" x14ac:dyDescent="0.25">
      <c r="A2" s="2" t="s">
        <v>0</v>
      </c>
      <c r="B2" s="2" t="s">
        <v>3</v>
      </c>
      <c r="C2" s="2" t="s">
        <v>18</v>
      </c>
      <c r="D2" s="4" t="s">
        <v>5</v>
      </c>
      <c r="E2" s="5" t="s">
        <v>7</v>
      </c>
      <c r="F2" s="6" t="s">
        <v>6</v>
      </c>
      <c r="G2" s="6" t="s">
        <v>2</v>
      </c>
    </row>
    <row r="3" spans="1:7" x14ac:dyDescent="0.25">
      <c r="A3" s="198">
        <v>2026</v>
      </c>
      <c r="B3" s="197"/>
      <c r="C3" s="197"/>
      <c r="D3" s="197"/>
      <c r="E3" s="197"/>
      <c r="F3" s="197"/>
      <c r="G3" s="197"/>
    </row>
    <row r="4" spans="1:7" hidden="1" x14ac:dyDescent="0.25">
      <c r="A4" s="158">
        <v>46143</v>
      </c>
      <c r="B4" s="31"/>
      <c r="C4" s="31"/>
      <c r="D4" s="31"/>
      <c r="E4" s="31"/>
      <c r="F4" s="31"/>
      <c r="G4" s="31"/>
    </row>
    <row r="5" spans="1:7" hidden="1" x14ac:dyDescent="0.25">
      <c r="A5" s="27">
        <v>46170</v>
      </c>
      <c r="B5" s="181" t="s">
        <v>631</v>
      </c>
      <c r="C5" s="120" t="s">
        <v>594</v>
      </c>
      <c r="E5" s="59" t="s">
        <v>4</v>
      </c>
    </row>
    <row r="6" spans="1:7" hidden="1" x14ac:dyDescent="0.25"/>
    <row r="7" spans="1:7" hidden="1" x14ac:dyDescent="0.25">
      <c r="A7" s="158">
        <v>46174</v>
      </c>
      <c r="B7" s="31"/>
      <c r="C7" s="31"/>
      <c r="D7" s="31"/>
      <c r="E7" s="31"/>
      <c r="F7" s="31"/>
      <c r="G7" s="31"/>
    </row>
    <row r="8" spans="1:7" hidden="1" x14ac:dyDescent="0.25"/>
    <row r="9" spans="1:7" hidden="1" x14ac:dyDescent="0.25">
      <c r="A9" s="158">
        <v>46204</v>
      </c>
      <c r="B9" s="31"/>
      <c r="C9" s="31"/>
      <c r="D9" s="31"/>
      <c r="E9" s="31"/>
      <c r="F9" s="31"/>
      <c r="G9" s="31"/>
    </row>
    <row r="10" spans="1:7" hidden="1" x14ac:dyDescent="0.25">
      <c r="A10" s="27">
        <v>46204</v>
      </c>
      <c r="C10" s="120" t="s">
        <v>621</v>
      </c>
      <c r="E10" s="59" t="s">
        <v>13</v>
      </c>
    </row>
    <row r="11" spans="1:7" hidden="1" x14ac:dyDescent="0.25">
      <c r="A11" s="27">
        <v>46213</v>
      </c>
      <c r="B11" s="223"/>
      <c r="C11" s="120" t="s">
        <v>677</v>
      </c>
      <c r="D11" s="223"/>
      <c r="E11" s="223" t="s">
        <v>4</v>
      </c>
      <c r="F11" s="223"/>
      <c r="G11" s="223"/>
    </row>
    <row r="12" spans="1:7" x14ac:dyDescent="0.25">
      <c r="A12" s="30" t="s">
        <v>596</v>
      </c>
      <c r="B12" s="31"/>
      <c r="C12" s="31"/>
      <c r="D12" s="31"/>
      <c r="E12" s="31"/>
      <c r="F12" s="31"/>
      <c r="G12" s="31"/>
    </row>
    <row r="13" spans="1:7" x14ac:dyDescent="0.25">
      <c r="A13" s="27">
        <v>46242</v>
      </c>
      <c r="C13" s="120" t="s">
        <v>456</v>
      </c>
      <c r="E13" s="59" t="s">
        <v>4</v>
      </c>
    </row>
    <row r="14" spans="1:7" x14ac:dyDescent="0.25">
      <c r="A14" s="27">
        <v>46244</v>
      </c>
      <c r="B14" s="232"/>
      <c r="C14" s="120" t="s">
        <v>701</v>
      </c>
      <c r="D14" s="232"/>
      <c r="E14" s="232" t="s">
        <v>21</v>
      </c>
      <c r="F14" s="232"/>
      <c r="G14" s="232"/>
    </row>
    <row r="15" spans="1:7" x14ac:dyDescent="0.25">
      <c r="A15" s="27">
        <v>46254</v>
      </c>
      <c r="B15" s="224"/>
      <c r="C15" s="120" t="s">
        <v>678</v>
      </c>
      <c r="D15" s="224"/>
      <c r="E15" s="224" t="s">
        <v>21</v>
      </c>
      <c r="F15" s="224"/>
      <c r="G15" s="224"/>
    </row>
    <row r="16" spans="1:7" x14ac:dyDescent="0.25">
      <c r="A16" s="158">
        <v>46266</v>
      </c>
      <c r="B16" s="31"/>
      <c r="C16" s="31"/>
      <c r="D16" s="31"/>
      <c r="E16" s="31"/>
      <c r="F16" s="31"/>
      <c r="G16" s="31"/>
    </row>
    <row r="17" spans="1:7" x14ac:dyDescent="0.25">
      <c r="A17" s="27">
        <v>46294</v>
      </c>
      <c r="C17" s="120" t="s">
        <v>659</v>
      </c>
      <c r="D17" s="59" t="s">
        <v>726</v>
      </c>
      <c r="E17" s="59" t="s">
        <v>4</v>
      </c>
    </row>
    <row r="18" spans="1:7" x14ac:dyDescent="0.25">
      <c r="A18" s="158">
        <v>46296</v>
      </c>
      <c r="B18" s="31"/>
      <c r="C18" s="31"/>
      <c r="D18" s="31"/>
      <c r="E18" s="31"/>
      <c r="F18" s="31"/>
      <c r="G18" s="31"/>
    </row>
    <row r="20" spans="1:7" x14ac:dyDescent="0.25">
      <c r="A20" s="158">
        <v>46327</v>
      </c>
      <c r="B20" s="31"/>
      <c r="C20" s="31"/>
      <c r="D20" s="31"/>
      <c r="E20" s="31"/>
      <c r="F20" s="31"/>
      <c r="G20" s="31"/>
    </row>
    <row r="22" spans="1:7" x14ac:dyDescent="0.25">
      <c r="A22" s="158">
        <v>46357</v>
      </c>
      <c r="B22" s="31"/>
      <c r="C22" s="31"/>
      <c r="D22" s="31"/>
      <c r="E22" s="31"/>
      <c r="F22" s="31"/>
      <c r="G22" s="31"/>
    </row>
    <row r="23" spans="1:7" x14ac:dyDescent="0.25">
      <c r="A23" s="27">
        <v>46372</v>
      </c>
      <c r="C23" s="120" t="s">
        <v>729</v>
      </c>
      <c r="E23" s="59" t="s">
        <v>4</v>
      </c>
    </row>
    <row r="24" spans="1:7" x14ac:dyDescent="0.25">
      <c r="A24" s="148">
        <v>2027</v>
      </c>
      <c r="B24" s="177"/>
      <c r="C24" s="177"/>
      <c r="D24" s="177"/>
      <c r="E24" s="177"/>
      <c r="F24" s="177"/>
      <c r="G24" s="177"/>
    </row>
    <row r="25" spans="1:7" x14ac:dyDescent="0.25">
      <c r="A25" s="61">
        <v>46388</v>
      </c>
      <c r="B25" s="39"/>
      <c r="C25" s="39"/>
      <c r="D25" s="39"/>
      <c r="E25" s="39"/>
      <c r="F25" s="39"/>
      <c r="G25" s="39"/>
    </row>
    <row r="26" spans="1:7" x14ac:dyDescent="0.25">
      <c r="A26" s="27">
        <v>46408</v>
      </c>
      <c r="C26" s="13" t="s">
        <v>739</v>
      </c>
      <c r="E26" s="59" t="s">
        <v>21</v>
      </c>
    </row>
    <row r="28" spans="1:7" x14ac:dyDescent="0.25">
      <c r="A28" s="73" t="s">
        <v>715</v>
      </c>
      <c r="B28" s="39"/>
      <c r="C28" s="39"/>
      <c r="D28" s="39"/>
      <c r="E28" s="39"/>
      <c r="F28" s="39"/>
      <c r="G28" s="39"/>
    </row>
    <row r="29" spans="1:7" x14ac:dyDescent="0.25">
      <c r="A29" s="27">
        <v>46429</v>
      </c>
      <c r="C29" s="120" t="s">
        <v>716</v>
      </c>
      <c r="E29" s="59" t="s">
        <v>10</v>
      </c>
    </row>
    <row r="30" spans="1:7" x14ac:dyDescent="0.25">
      <c r="A30" s="18">
        <v>46447</v>
      </c>
      <c r="B30" s="17"/>
      <c r="C30" s="16"/>
      <c r="D30" s="17"/>
      <c r="E30" s="17"/>
      <c r="F30" s="17"/>
      <c r="G30" s="236"/>
    </row>
    <row r="31" spans="1:7" x14ac:dyDescent="0.25">
      <c r="A31" s="27">
        <v>46464</v>
      </c>
      <c r="C31" s="120" t="s">
        <v>717</v>
      </c>
      <c r="E31" s="59" t="s">
        <v>4</v>
      </c>
    </row>
  </sheetData>
  <autoFilter ref="A2:F2">
    <sortState ref="A3:G14">
      <sortCondition ref="A2"/>
    </sortState>
  </autoFilter>
  <mergeCells count="1">
    <mergeCell ref="A1:F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אסף אמדורסקי</vt:lpstr>
      <vt:lpstr>אני גיטרה</vt:lpstr>
      <vt:lpstr>חלונות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Nitzan</dc:creator>
  <cp:lastModifiedBy>Reception</cp:lastModifiedBy>
  <cp:lastPrinted>2022-05-18T10:40:02Z</cp:lastPrinted>
  <dcterms:created xsi:type="dcterms:W3CDTF">2020-09-03T11:59:05Z</dcterms:created>
  <dcterms:modified xsi:type="dcterms:W3CDTF">2026-09-20T10:56:09Z</dcterms:modified>
</cp:coreProperties>
</file>